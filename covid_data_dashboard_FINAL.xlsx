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shrin\Downloads\"/>
    </mc:Choice>
  </mc:AlternateContent>
  <xr:revisionPtr revIDLastSave="0" documentId="13_ncr:1_{0B842CB5-912F-4FBC-865E-8263B50E5EBC}"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rad" sheetId="7" r:id="rId2"/>
    <sheet name="Cases and Recovered" sheetId="2" r:id="rId3"/>
    <sheet name="Sheet2" sheetId="9" r:id="rId4"/>
    <sheet name="Active And Deaths" sheetId="3" r:id="rId5"/>
    <sheet name="States and Zones" sheetId="4" r:id="rId6"/>
    <sheet name="Recovered Index" sheetId="5" r:id="rId7"/>
    <sheet name="Death Index" sheetId="6" r:id="rId8"/>
  </sheets>
  <definedNames>
    <definedName name="_xlcn.WorksheetConnection_Sheet1A1L371" hidden="1">Data!$A$1:$L$37</definedName>
    <definedName name="Slicer_Discharge_Avg1">#N/A</definedName>
    <definedName name="Slicer_Discharge_Avg2">#N/A</definedName>
    <definedName name="Slicer_State_UTs">#N/A</definedName>
    <definedName name="Slicer_Zone">#N/A</definedName>
  </definedNames>
  <calcPr calcId="191029"/>
  <pivotCaches>
    <pivotCache cacheId="69" r:id="rId9"/>
    <pivotCache cacheId="118" r:id="rId10"/>
    <pivotCache cacheId="12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3" l="1"/>
  <c r="G16" i="3"/>
  <c r="G13" i="2"/>
  <c r="G1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<sst xmlns="http://schemas.openxmlformats.org/spreadsheetml/2006/main" count="568" uniqueCount="75">
  <si>
    <t>State/UTs</t>
  </si>
  <si>
    <t>Zone</t>
  </si>
  <si>
    <t>Total Cases</t>
  </si>
  <si>
    <t>Active</t>
  </si>
  <si>
    <t>Discharged</t>
  </si>
  <si>
    <t>Deaths</t>
  </si>
  <si>
    <t>Active Ratio</t>
  </si>
  <si>
    <t>Discharge Ratio</t>
  </si>
  <si>
    <t>Discharge Avg</t>
  </si>
  <si>
    <t>Death Ratio</t>
  </si>
  <si>
    <t>Death Avg</t>
  </si>
  <si>
    <t>Population</t>
  </si>
  <si>
    <t>Andaman and Nicobar</t>
  </si>
  <si>
    <t>South</t>
  </si>
  <si>
    <t>Below Average</t>
  </si>
  <si>
    <t>Above Average</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</si>
  <si>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</si>
  <si>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</si>
  <si>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</si>
  <si>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</si>
  <si>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</si>
  <si>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</si>
  <si>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</si>
  <si>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</si>
  <si>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</si>
  <si>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</si>
  <si>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</si>
  <si>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</si>
  <si>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</si>
  <si>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</si>
  <si>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</si>
  <si>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</si>
  <si>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</si>
  <si>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</si>
  <si>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</si>
  <si>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</si>
  <si>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</si>
  <si>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</si>
  <si>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</si>
  <si>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</si>
  <si>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</si>
  <si>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</si>
  <si>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</si>
  <si>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</si>
  <si>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</si>
  <si>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</si>
  <si>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</si>
  <si>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</si>
  <si>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</si>
  <si>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</si>
  <si>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</si>
  <si>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</si>
  <si>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</si>
  <si>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</si>
  <si>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</si>
  <si>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</si>
  <si>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Sum of Discharged</t>
  </si>
  <si>
    <t>Sum of Discharge Ratio</t>
  </si>
  <si>
    <t>Sum of Death Ratio</t>
  </si>
  <si>
    <t>3</t>
  </si>
  <si>
    <t>Total Case</t>
  </si>
  <si>
    <t>States</t>
  </si>
  <si>
    <t>Cases</t>
  </si>
  <si>
    <t>Highest</t>
  </si>
  <si>
    <t>Least</t>
  </si>
  <si>
    <t>Recovered</t>
  </si>
  <si>
    <t>Recovered %</t>
  </si>
  <si>
    <t>Death</t>
  </si>
  <si>
    <t>Death%</t>
  </si>
  <si>
    <t>Sum of Active Ratio</t>
  </si>
  <si>
    <t>Active %</t>
  </si>
  <si>
    <t xml:space="preserve"> Discharged</t>
  </si>
  <si>
    <t xml:space="preserve"> Active</t>
  </si>
  <si>
    <t>zone</t>
  </si>
  <si>
    <t>Total_Cases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</si>
</sst>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quot; cr&quot;"/>
    <numFmt numFmtId="169" formatCode="0.0%"/>
  </numFmts>
  <fonts count="9" x14ac:knownFonts="1">
    <font>
      <sz val="11"/>
      <color theme="1"/>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b/>
      <sz val="12"/>
      <color theme="1"/>
      <name val="Calibri"/>
      <family val="2"/>
      <scheme val="minor"/>
    </font>
    <font>
      <sz val="11"/>
      <color theme="4" tint="-0.249977111117893"/>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indexed="65"/>
        <bgColor indexed="64"/>
      </patternFill>
    </fill>
    <fill>
      <patternFill patternType="solid">
        <fgColor theme="6"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4"/>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30">
    <xf numFmtId="0" fontId="0" fillId="0" borderId="0" xfId="0"/>
    <xf numFmtId="0" fontId="1" fillId="0" borderId="0" xfId="0" applyFont="1"/>
    <xf numFmtId="0" fontId="0" fillId="0" borderId="0" xfId="0" pivotButton="1"/>
    <xf numFmtId="0" fontId="0" fillId="0" borderId="0" xfId="0" applyAlignment="1">
      <alignment horizontal="left"/>
    </xf>
    <xf numFmtId="0" fontId="0" fillId="2" borderId="0" xfId="0" applyFill="1"/>
    <xf numFmtId="0" fontId="3" fillId="3" borderId="1" xfId="0" applyFont="1" applyFill="1" applyBorder="1"/>
    <xf numFmtId="166" fontId="0" fillId="2" borderId="0" xfId="0" applyNumberFormat="1" applyFill="1"/>
    <xf numFmtId="166" fontId="0" fillId="0" borderId="0" xfId="0" applyNumberFormat="1"/>
    <xf numFmtId="10" fontId="0" fillId="0" borderId="0" xfId="0" applyNumberFormat="1"/>
    <xf numFmtId="0" fontId="0" fillId="0" borderId="0" xfId="0" applyNumberFormat="1"/>
    <xf numFmtId="169" fontId="0" fillId="0" borderId="0" xfId="1" applyNumberFormat="1" applyFont="1"/>
    <xf numFmtId="10" fontId="0" fillId="0" borderId="0" xfId="1" applyNumberFormat="1" applyFont="1"/>
    <xf numFmtId="1" fontId="0" fillId="0" borderId="0" xfId="0" applyNumberFormat="1"/>
    <xf numFmtId="0" fontId="0" fillId="4" borderId="0" xfId="0" applyFill="1" applyAlignment="1"/>
    <xf numFmtId="0" fontId="3" fillId="4" borderId="0" xfId="0" applyFont="1" applyFill="1" applyAlignment="1"/>
    <xf numFmtId="0" fontId="3" fillId="2" borderId="0" xfId="0" applyFont="1" applyFill="1"/>
    <xf numFmtId="0" fontId="5" fillId="3" borderId="0" xfId="0" applyFont="1" applyFill="1" applyBorder="1"/>
    <xf numFmtId="0" fontId="0" fillId="5" borderId="0" xfId="0" applyFill="1"/>
    <xf numFmtId="0" fontId="4" fillId="5" borderId="0" xfId="0" applyFont="1" applyFill="1" applyBorder="1"/>
    <xf numFmtId="0" fontId="7" fillId="6" borderId="0" xfId="0" applyFont="1" applyFill="1" applyAlignment="1">
      <alignment horizontal="center" vertical="center"/>
    </xf>
    <xf numFmtId="0" fontId="0" fillId="5" borderId="0" xfId="0" applyFill="1" applyAlignment="1">
      <alignment horizontal="left"/>
    </xf>
    <xf numFmtId="0" fontId="0" fillId="5" borderId="0" xfId="0" applyNumberFormat="1" applyFill="1"/>
    <xf numFmtId="0" fontId="6" fillId="5" borderId="0" xfId="0" applyFont="1" applyFill="1" applyAlignment="1">
      <alignment horizontal="left"/>
    </xf>
    <xf numFmtId="0" fontId="6" fillId="5" borderId="0" xfId="0" applyNumberFormat="1" applyFont="1" applyFill="1"/>
    <xf numFmtId="0" fontId="3" fillId="7" borderId="0" xfId="0" applyFont="1" applyFill="1" applyAlignment="1">
      <alignment horizontal="center"/>
    </xf>
    <xf numFmtId="0" fontId="0" fillId="7" borderId="0" xfId="0" applyFill="1" applyAlignment="1">
      <alignment horizontal="center"/>
    </xf>
    <xf numFmtId="0" fontId="6" fillId="0" borderId="0" xfId="0" applyFont="1" applyAlignment="1">
      <alignment horizontal="left"/>
    </xf>
    <xf numFmtId="0" fontId="6" fillId="0" borderId="0" xfId="0" applyNumberFormat="1" applyFont="1"/>
    <xf numFmtId="0" fontId="3" fillId="8" borderId="0" xfId="0" applyFont="1" applyFill="1"/>
    <xf numFmtId="0" fontId="8" fillId="9" borderId="0" xfId="0" applyFont="1" applyFill="1" applyAlignment="1">
      <alignment horizontal="center"/>
    </xf>
  </cellXfs>
  <cellStyles count="2">
    <cellStyle name="Normal" xfId="0" builtinId="0"/>
    <cellStyle name="Percent" xfId="1" builtinId="5"/>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[covid_data.xlsx]Death Index!PivotTable5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Rate</a:t>
            </a:r>
            <a:endParaRPr lang="en-IN"/>
          </a:p>
        </c:rich>
      </c:tx>
      <c:layout>
        <c:manualLayout>
          <c:xMode val="edge"/>
          <c:yMode val="edge"/>
          <c:x val="0.80959154615476991"/>
          <c:y val="7.4766773556290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'Death Index'!$B$1</c:f>
              <c:strCache>
                <c:ptCount val="1"/>
                <c:pt idx="0">
                  <c:v>Total</c:v>
                </c:pt>
              </c:strCache>
            </c:strRef>
          </c:tx>
          <c:spPr>
            <a:solidFill>
              <a:schemeClr val="accent1"/>
            </a:solidFill>
            <a:ln>
              <a:noFill/>
            </a:ln>
            <a:effectLst/>
          </c:spPr>
          <c:invertIfNegative val="0"/>
          <c:cat>
            <c:strRef>
              <c:f>'Death Index'!$A$2:$A$38</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'Death Index'!$B$2:$B$38</c:f>
              <c:numCache>
                <c:formatCode>General</c:formatCode>
                <c:ptCount val="36"/>
                <c:pt idx="0">
                  <c:v>1.68</c:v>
                </c:pt>
                <c:pt idx="1">
                  <c:v>0.7</c:v>
                </c:pt>
                <c:pt idx="2">
                  <c:v>0.51</c:v>
                </c:pt>
                <c:pt idx="3">
                  <c:v>0.99</c:v>
                </c:pt>
                <c:pt idx="4">
                  <c:v>1.33</c:v>
                </c:pt>
                <c:pt idx="5">
                  <c:v>1.25</c:v>
                </c:pt>
                <c:pt idx="6">
                  <c:v>1.35</c:v>
                </c:pt>
                <c:pt idx="7">
                  <c:v>0.04</c:v>
                </c:pt>
                <c:pt idx="8">
                  <c:v>1.74</c:v>
                </c:pt>
                <c:pt idx="9">
                  <c:v>1.89</c:v>
                </c:pt>
                <c:pt idx="10">
                  <c:v>1.22</c:v>
                </c:pt>
                <c:pt idx="11">
                  <c:v>1.3</c:v>
                </c:pt>
                <c:pt idx="12">
                  <c:v>1.69</c:v>
                </c:pt>
                <c:pt idx="13">
                  <c:v>1.33</c:v>
                </c:pt>
                <c:pt idx="14">
                  <c:v>1.47</c:v>
                </c:pt>
                <c:pt idx="15">
                  <c:v>1.27</c:v>
                </c:pt>
                <c:pt idx="16">
                  <c:v>0.71</c:v>
                </c:pt>
                <c:pt idx="17">
                  <c:v>1</c:v>
                </c:pt>
                <c:pt idx="18">
                  <c:v>0.49</c:v>
                </c:pt>
                <c:pt idx="19">
                  <c:v>1.33</c:v>
                </c:pt>
                <c:pt idx="20">
                  <c:v>2.12</c:v>
                </c:pt>
                <c:pt idx="21">
                  <c:v>1.56</c:v>
                </c:pt>
                <c:pt idx="22">
                  <c:v>1.74</c:v>
                </c:pt>
                <c:pt idx="23">
                  <c:v>0.36</c:v>
                </c:pt>
                <c:pt idx="24">
                  <c:v>2.16</c:v>
                </c:pt>
                <c:pt idx="25">
                  <c:v>0.8</c:v>
                </c:pt>
                <c:pt idx="26">
                  <c:v>1.45</c:v>
                </c:pt>
                <c:pt idx="27">
                  <c:v>2.75</c:v>
                </c:pt>
                <c:pt idx="28">
                  <c:v>0.94</c:v>
                </c:pt>
                <c:pt idx="29">
                  <c:v>1.25</c:v>
                </c:pt>
                <c:pt idx="30">
                  <c:v>1.34</c:v>
                </c:pt>
                <c:pt idx="31">
                  <c:v>0.59</c:v>
                </c:pt>
                <c:pt idx="32">
                  <c:v>0.96</c:v>
                </c:pt>
                <c:pt idx="33">
                  <c:v>1.34</c:v>
                </c:pt>
                <c:pt idx="34">
                  <c:v>2.15</c:v>
                </c:pt>
                <c:pt idx="35">
                  <c:v>1.2</c:v>
                </c:pt>
              </c:numCache>
            </c:numRef>
          </c:val>
          <c:extLst>
            <c:ext xmlns:c16="http://schemas.microsoft.com/office/drawing/2014/chart" uri="{C3380CC4-5D6E-409C-BE32-E72D297353CC}">
              <c16:uniqueId val="{00000000-41F3-4398-B3AC-21D03ABC367A}"/>
            </c:ext>
          </c:extLst>
        </c:ser>
        <c:dLbls>
          <c:showLegendKey val="0"/>
          <c:showVal val="0"/>
          <c:showCatName val="0"/>
          <c:showSerName val="0"/>
          <c:showPercent val="0"/>
          <c:showBubbleSize val="0"/>
        </c:dLbls>
        <c:gapWidth val="182"/>
        <c:axId val="1889084191"/>
        <c:axId val="1788139599"/>
      </c:barChart>
      <c:catAx>
        <c:axId val="1889084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39599"/>
        <c:crosses val="autoZero"/>
        <c:auto val="1"/>
        <c:lblAlgn val="ctr"/>
        <c:lblOffset val="100"/>
        <c:noMultiLvlLbl val="0"/>
      </c:catAx>
      <c:valAx>
        <c:axId val="17881395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8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[covid_data.xlsx]Recovered Index!PivotTable4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'Recovered Index'!$B$1</c:f>
              <c:strCache>
                <c:ptCount val="1"/>
                <c:pt idx="0">
                  <c:v>Total</c:v>
                </c:pt>
              </c:strCache>
            </c:strRef>
          </c:tx>
          <c:spPr>
            <a:solidFill>
              <a:schemeClr val="accent1"/>
            </a:solidFill>
            <a:ln>
              <a:noFill/>
            </a:ln>
            <a:effectLst/>
          </c:spPr>
          <c:invertIfNegative val="0"/>
          <c:cat>
            <c:strRef>
              <c:f>'Recovered Index'!$A$2:$A$38</c:f>
              <c:strCache>
                <c:ptCount val="36"/>
                <c:pt idx="0">
                  <c:v>Daman and Diu</c:v>
                </c:pt>
                <c:pt idx="1">
                  <c:v>Lakshadweep</c:v>
                </c:pt>
                <c:pt idx="2">
                  <c:v>3</c:v>
                </c:pt>
                <c:pt idx="3">
                  <c:v>Andhra Pradesh</c:v>
                </c:pt>
                <c:pt idx="4">
                  <c:v>Rajasthan</c:v>
                </c:pt>
                <c:pt idx="5">
                  <c:v>Odisha</c:v>
                </c:pt>
                <c:pt idx="6">
                  <c:v>Tripura</c:v>
                </c:pt>
                <c:pt idx="7">
                  <c:v>Telengana</c:v>
                </c:pt>
                <c:pt idx="8">
                  <c:v>Gujarat</c:v>
                </c:pt>
                <c:pt idx="9">
                  <c:v>Chandigarh</c:v>
                </c:pt>
                <c:pt idx="10">
                  <c:v>Haryana</c:v>
                </c:pt>
                <c:pt idx="11">
                  <c:v>Bihar</c:v>
                </c:pt>
                <c:pt idx="12">
                  <c:v>Uttar Pradesh</c:v>
                </c:pt>
                <c:pt idx="13">
                  <c:v>Madhya Pradesh</c:v>
                </c:pt>
                <c:pt idx="14">
                  <c:v>Chhattisgarh</c:v>
                </c:pt>
                <c:pt idx="15">
                  <c:v>Jharkhand</c:v>
                </c:pt>
                <c:pt idx="16">
                  <c:v>Assam</c:v>
                </c:pt>
                <c:pt idx="17">
                  <c:v>Karnataka</c:v>
                </c:pt>
                <c:pt idx="18">
                  <c:v>Sikkim</c:v>
                </c:pt>
                <c:pt idx="19">
                  <c:v>Puducherry</c:v>
                </c:pt>
                <c:pt idx="20">
                  <c:v>Tamil Nadu</c:v>
                </c:pt>
                <c:pt idx="21">
                  <c:v>West Bengal</c:v>
                </c:pt>
                <c:pt idx="22">
                  <c:v>Ladakh</c:v>
                </c:pt>
                <c:pt idx="23">
                  <c:v>Delhi</c:v>
                </c:pt>
                <c:pt idx="24">
                  <c:v>Jammu and Kashmir</c:v>
                </c:pt>
                <c:pt idx="25">
                  <c:v>Andaman and Nicobar</c:v>
                </c:pt>
                <c:pt idx="26">
                  <c:v>Goa</c:v>
                </c:pt>
                <c:pt idx="27">
                  <c:v>Meghalaya</c:v>
                </c:pt>
                <c:pt idx="28">
                  <c:v>Kerala</c:v>
                </c:pt>
                <c:pt idx="29">
                  <c:v>Himachal Pradesh</c:v>
                </c:pt>
                <c:pt idx="30">
                  <c:v>Uttarakhand</c:v>
                </c:pt>
                <c:pt idx="31">
                  <c:v>Manipur</c:v>
                </c:pt>
                <c:pt idx="32">
                  <c:v>Maharashtra</c:v>
                </c:pt>
                <c:pt idx="33">
                  <c:v>Nagaland</c:v>
                </c:pt>
                <c:pt idx="34">
                  <c:v>Punjab</c:v>
                </c:pt>
                <c:pt idx="35">
                  <c:v>Mizoram</c:v>
                </c:pt>
              </c:strCache>
            </c:strRef>
          </c:cat>
          <c:val>
            <c:numRef>
              <c:f>'Recovered Index'!$B$2:$B$38</c:f>
              <c:numCache>
                <c:formatCode>General</c:formatCode>
                <c:ptCount val="36"/>
                <c:pt idx="0">
                  <c:v>99.96</c:v>
                </c:pt>
                <c:pt idx="1">
                  <c:v>99.51</c:v>
                </c:pt>
                <c:pt idx="2">
                  <c:v>99.42</c:v>
                </c:pt>
                <c:pt idx="3">
                  <c:v>99.15</c:v>
                </c:pt>
                <c:pt idx="4">
                  <c:v>99.05</c:v>
                </c:pt>
                <c:pt idx="5">
                  <c:v>98.96</c:v>
                </c:pt>
                <c:pt idx="6">
                  <c:v>98.9</c:v>
                </c:pt>
                <c:pt idx="7">
                  <c:v>98.85</c:v>
                </c:pt>
                <c:pt idx="8">
                  <c:v>98.75</c:v>
                </c:pt>
                <c:pt idx="9">
                  <c:v>98.71</c:v>
                </c:pt>
                <c:pt idx="10">
                  <c:v>98.68</c:v>
                </c:pt>
                <c:pt idx="11">
                  <c:v>98.67</c:v>
                </c:pt>
                <c:pt idx="12">
                  <c:v>98.66</c:v>
                </c:pt>
                <c:pt idx="13">
                  <c:v>98.66</c:v>
                </c:pt>
                <c:pt idx="14">
                  <c:v>98.63</c:v>
                </c:pt>
                <c:pt idx="15">
                  <c:v>98.49</c:v>
                </c:pt>
                <c:pt idx="16">
                  <c:v>98.48</c:v>
                </c:pt>
                <c:pt idx="17">
                  <c:v>98.46</c:v>
                </c:pt>
                <c:pt idx="18">
                  <c:v>98.38</c:v>
                </c:pt>
                <c:pt idx="19">
                  <c:v>98.33</c:v>
                </c:pt>
                <c:pt idx="20">
                  <c:v>98.3</c:v>
                </c:pt>
                <c:pt idx="21">
                  <c:v>98.29</c:v>
                </c:pt>
                <c:pt idx="22">
                  <c:v>98.27</c:v>
                </c:pt>
                <c:pt idx="23">
                  <c:v>98.23</c:v>
                </c:pt>
                <c:pt idx="24">
                  <c:v>98.23</c:v>
                </c:pt>
                <c:pt idx="25">
                  <c:v>98.23</c:v>
                </c:pt>
                <c:pt idx="26">
                  <c:v>97.96</c:v>
                </c:pt>
                <c:pt idx="27">
                  <c:v>97.93</c:v>
                </c:pt>
                <c:pt idx="28">
                  <c:v>97.92</c:v>
                </c:pt>
                <c:pt idx="29">
                  <c:v>97.82</c:v>
                </c:pt>
                <c:pt idx="30">
                  <c:v>97.8</c:v>
                </c:pt>
                <c:pt idx="31">
                  <c:v>97.79</c:v>
                </c:pt>
                <c:pt idx="32">
                  <c:v>97.64</c:v>
                </c:pt>
                <c:pt idx="33">
                  <c:v>97.33</c:v>
                </c:pt>
                <c:pt idx="34">
                  <c:v>97.2</c:v>
                </c:pt>
                <c:pt idx="35">
                  <c:v>95.25</c:v>
                </c:pt>
              </c:numCache>
            </c:numRef>
          </c:val>
          <c:extLst>
            <c:ext xmlns:c16="http://schemas.microsoft.com/office/drawing/2014/chart" uri="{C3380CC4-5D6E-409C-BE32-E72D297353CC}">
              <c16:uniqueId val="{00000000-40F4-4CC9-83DC-448B3DCFB649}"/>
            </c:ext>
          </c:extLst>
        </c:ser>
        <c:dLbls>
          <c:showLegendKey val="0"/>
          <c:showVal val="0"/>
          <c:showCatName val="0"/>
          <c:showSerName val="0"/>
          <c:showPercent val="0"/>
          <c:showBubbleSize val="0"/>
        </c:dLbls>
        <c:gapWidth val="182"/>
        <c:axId val="1889063311"/>
        <c:axId val="1788182319"/>
      </c:barChart>
      <c:catAx>
        <c:axId val="188906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82319"/>
        <c:crosses val="autoZero"/>
        <c:auto val="1"/>
        <c:lblAlgn val="ctr"/>
        <c:lblOffset val="100"/>
        <c:noMultiLvlLbl val="0"/>
      </c:catAx>
      <c:valAx>
        <c:axId val="178818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6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[covid_data.xlsx]Cases and Recovered!PivotTable1</c:name>
    <c:fmtId val="7"/>
  </c:pivotSource>
  <c:chart>
    <c:title>
      <c:tx>
        <c:rich>
          <a:bodyPr rot="0" spcFirstLastPara="1" vertOverflow="ellipsis" vert="horz" wrap="square" anchor="ctr" anchorCtr="1"/>
          <a:lstStyle/>
          <a:p>
            <a:pPr>
              <a:defRPr sz="1400" b="0" i="0" u="none" strike="noStrike"/>
            </a:pPr>
            <a:r>
              <a:rPr lang="en-IN"/>
              <a:t>State-wise Cases vs Recovered</a:t>
            </a:r>
          </a:p>
        </c:rich>
      </c:tx>
      <c:overlay val="0"/>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'Cases and Recovered'!$B$3</c:f>
              <c:strCache>
                <c:ptCount val="1"/>
                <c:pt idx="0">
                  <c:v>Total Case</c:v>
                </c:pt>
              </c:strCache>
            </c:strRef>
          </c:tx>
          <c:spPr>
            <a:solidFill>
              <a:schemeClr val="accent6"/>
            </a:solidFill>
            <a:ln>
              <a:noFill/>
            </a:ln>
            <a:effectLst/>
          </c:spPr>
          <c:invertIfNegative val="0"/>
          <c:cat>
            <c:strRef>
              <c:f>'Cases and Recovered'!$A$4:$A$5</c:f>
              <c:strCache>
                <c:ptCount val="1"/>
                <c:pt idx="0">
                  <c:v>Daman and Diu</c:v>
                </c:pt>
              </c:strCache>
            </c:strRef>
          </c:cat>
          <c:val>
            <c:numRef>
              <c:f>'Cases and Recovered'!$B$4:$B$5</c:f>
              <c:numCache>
                <c:formatCode>General</c:formatCode>
                <c:ptCount val="1"/>
                <c:pt idx="0">
                  <c:v>10682</c:v>
                </c:pt>
              </c:numCache>
            </c:numRef>
          </c:val>
          <c:extLst>
            <c:ext xmlns:c16="http://schemas.microsoft.com/office/drawing/2014/chart" uri="{C3380CC4-5D6E-409C-BE32-E72D297353CC}">
              <c16:uniqueId val="{00000000-2F94-4855-B4A9-EC59A9922C84}"/>
            </c:ext>
          </c:extLst>
        </c:ser>
        <c:ser>
          <c:idx val="1"/>
          <c:order val="1"/>
          <c:tx>
            <c:strRef>
              <c:f>'Cases and Recovered'!$C$3</c:f>
              <c:strCache>
                <c:ptCount val="1"/>
                <c:pt idx="0">
                  <c:v> Discharged</c:v>
                </c:pt>
              </c:strCache>
            </c:strRef>
          </c:tx>
          <c:spPr>
            <a:solidFill>
              <a:schemeClr val="accent5"/>
            </a:solidFill>
            <a:ln>
              <a:noFill/>
            </a:ln>
            <a:effectLst/>
          </c:spPr>
          <c:invertIfNegative val="0"/>
          <c:cat>
            <c:strRef>
              <c:f>'Cases and Recovered'!$A$4:$A$5</c:f>
              <c:strCache>
                <c:ptCount val="1"/>
                <c:pt idx="0">
                  <c:v>Daman and Diu</c:v>
                </c:pt>
              </c:strCache>
            </c:strRef>
          </c:cat>
          <c:val>
            <c:numRef>
              <c:f>'Cases and Recovered'!$C$4:$C$5</c:f>
              <c:numCache>
                <c:formatCode>General</c:formatCode>
                <c:ptCount val="1"/>
                <c:pt idx="0">
                  <c:v>10678</c:v>
                </c:pt>
              </c:numCache>
            </c:numRef>
          </c:val>
          <c:extLst>
            <c:ext xmlns:c16="http://schemas.microsoft.com/office/drawing/2014/chart" uri="{C3380CC4-5D6E-409C-BE32-E72D297353CC}">
              <c16:uniqueId val="{00000001-2F94-4855-B4A9-EC59A9922C84}"/>
            </c:ext>
          </c:extLst>
        </c:ser>
        <c:dLbls>
          <c:showLegendKey val="0"/>
          <c:showVal val="0"/>
          <c:showCatName val="0"/>
          <c:showSerName val="0"/>
          <c:showPercent val="0"/>
          <c:showBubbleSize val="0"/>
        </c:dLbls>
        <c:gapWidth val="219"/>
        <c:overlap val="-27"/>
        <c:axId val="1377721200"/>
        <c:axId val="248664528"/>
      </c:barChart>
      <c:catAx>
        <c:axId val="13777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64528"/>
        <c:crosses val="autoZero"/>
        <c:auto val="1"/>
        <c:lblAlgn val="ctr"/>
        <c:lblOffset val="100"/>
        <c:noMultiLvlLbl val="0"/>
      </c:catAx>
      <c:valAx>
        <c:axId val="24866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721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[covid_data.xlsx]Active And Deaths!PivotTable2</c:name>
    <c:fmtId val="8"/>
  </c:pivotSource>
  <c:chart>
    <c:title>
      <c:tx>
        <c:rich>
          <a:bodyPr rot="0" spcFirstLastPara="1" vertOverflow="ellipsis" vert="horz" wrap="square" anchor="ctr" anchorCtr="1"/>
          <a:lstStyle/>
          <a:p>
            <a:pPr>
              <a:defRPr sz="1400" b="0" i="0" u="none" strike="noStrike"/>
            </a:pPr>
            <a:r>
              <a:rPr lang="en-IN"/>
              <a:t>State-wise Active vs Deaths</a:t>
            </a:r>
          </a:p>
        </c:rich>
      </c:tx>
      <c:overlay val="0"/>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'Active And Deaths'!$B$1</c:f>
              <c:strCache>
                <c:ptCount val="1"/>
                <c:pt idx="0">
                  <c:v> Active</c:v>
                </c:pt>
              </c:strCache>
            </c:strRef>
          </c:tx>
          <c:spPr>
            <a:solidFill>
              <a:schemeClr val="accent1"/>
            </a:solidFill>
            <a:ln>
              <a:noFill/>
            </a:ln>
            <a:effectLst/>
          </c:spPr>
          <c:invertIfNegative val="0"/>
          <c:cat>
            <c:strRef>
              <c:f>'Active And Deaths'!$A$2:$A$38</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And Deaths'!$B$2:$B$38</c:f>
              <c:numCache>
                <c:formatCode>General</c:formatCode>
                <c:ptCount val="36"/>
                <c:pt idx="0">
                  <c:v>7</c:v>
                </c:pt>
                <c:pt idx="1">
                  <c:v>3128</c:v>
                </c:pt>
                <c:pt idx="2">
                  <c:v>42</c:v>
                </c:pt>
                <c:pt idx="3">
                  <c:v>3272</c:v>
                </c:pt>
                <c:pt idx="4">
                  <c:v>29</c:v>
                </c:pt>
                <c:pt idx="5">
                  <c:v>24</c:v>
                </c:pt>
                <c:pt idx="6">
                  <c:v>230</c:v>
                </c:pt>
                <c:pt idx="7">
                  <c:v>0</c:v>
                </c:pt>
                <c:pt idx="8">
                  <c:v>361</c:v>
                </c:pt>
                <c:pt idx="9">
                  <c:v>263</c:v>
                </c:pt>
                <c:pt idx="10">
                  <c:v>226</c:v>
                </c:pt>
                <c:pt idx="11">
                  <c:v>140</c:v>
                </c:pt>
                <c:pt idx="12">
                  <c:v>1100</c:v>
                </c:pt>
                <c:pt idx="13">
                  <c:v>1450</c:v>
                </c:pt>
                <c:pt idx="14">
                  <c:v>141</c:v>
                </c:pt>
                <c:pt idx="15">
                  <c:v>8056</c:v>
                </c:pt>
                <c:pt idx="16">
                  <c:v>69258</c:v>
                </c:pt>
                <c:pt idx="17">
                  <c:v>154</c:v>
                </c:pt>
                <c:pt idx="18">
                  <c:v>0</c:v>
                </c:pt>
                <c:pt idx="19">
                  <c:v>75</c:v>
                </c:pt>
                <c:pt idx="20">
                  <c:v>15866</c:v>
                </c:pt>
                <c:pt idx="21">
                  <c:v>799</c:v>
                </c:pt>
                <c:pt idx="22">
                  <c:v>277</c:v>
                </c:pt>
                <c:pt idx="23">
                  <c:v>5651</c:v>
                </c:pt>
                <c:pt idx="24">
                  <c:v>163</c:v>
                </c:pt>
                <c:pt idx="25">
                  <c:v>2534</c:v>
                </c:pt>
                <c:pt idx="26">
                  <c:v>275</c:v>
                </c:pt>
                <c:pt idx="27">
                  <c:v>318</c:v>
                </c:pt>
                <c:pt idx="28">
                  <c:v>71</c:v>
                </c:pt>
                <c:pt idx="29">
                  <c:v>121</c:v>
                </c:pt>
                <c:pt idx="30">
                  <c:v>9751</c:v>
                </c:pt>
                <c:pt idx="31">
                  <c:v>3741</c:v>
                </c:pt>
                <c:pt idx="32">
                  <c:v>116</c:v>
                </c:pt>
                <c:pt idx="33">
                  <c:v>90</c:v>
                </c:pt>
                <c:pt idx="34">
                  <c:v>158</c:v>
                </c:pt>
                <c:pt idx="35">
                  <c:v>8031</c:v>
                </c:pt>
              </c:numCache>
            </c:numRef>
          </c:val>
          <c:extLst>
            <c:ext xmlns:c16="http://schemas.microsoft.com/office/drawing/2014/chart" uri="{C3380CC4-5D6E-409C-BE32-E72D297353CC}">
              <c16:uniqueId val="{00000000-BBCA-472D-9C30-10EC8E409316}"/>
            </c:ext>
          </c:extLst>
        </c:ser>
        <c:ser>
          <c:idx val="1"/>
          <c:order val="1"/>
          <c:tx>
            <c:strRef>
              <c:f>'Active And Deaths'!$C$1</c:f>
              <c:strCache>
                <c:ptCount val="1"/>
                <c:pt idx="0">
                  <c:v>Death</c:v>
                </c:pt>
              </c:strCache>
            </c:strRef>
          </c:tx>
          <c:spPr>
            <a:solidFill>
              <a:schemeClr val="accent2"/>
            </a:solidFill>
            <a:ln>
              <a:noFill/>
            </a:ln>
            <a:effectLst/>
          </c:spPr>
          <c:invertIfNegative val="0"/>
          <c:cat>
            <c:strRef>
              <c:f>'Active And Deaths'!$A$2:$A$38</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And Deaths'!$C$2:$C$38</c:f>
              <c:numCache>
                <c:formatCode>General</c:formatCode>
                <c:ptCount val="36"/>
                <c:pt idx="0">
                  <c:v>129</c:v>
                </c:pt>
                <c:pt idx="1">
                  <c:v>14412</c:v>
                </c:pt>
                <c:pt idx="2">
                  <c:v>280</c:v>
                </c:pt>
                <c:pt idx="3">
                  <c:v>6047</c:v>
                </c:pt>
                <c:pt idx="4">
                  <c:v>9662</c:v>
                </c:pt>
                <c:pt idx="5">
                  <c:v>820</c:v>
                </c:pt>
                <c:pt idx="6">
                  <c:v>13588</c:v>
                </c:pt>
                <c:pt idx="7">
                  <c:v>4</c:v>
                </c:pt>
                <c:pt idx="8">
                  <c:v>25093</c:v>
                </c:pt>
                <c:pt idx="9">
                  <c:v>3374</c:v>
                </c:pt>
                <c:pt idx="10">
                  <c:v>10090</c:v>
                </c:pt>
                <c:pt idx="11">
                  <c:v>10050</c:v>
                </c:pt>
                <c:pt idx="12">
                  <c:v>3812</c:v>
                </c:pt>
                <c:pt idx="13">
                  <c:v>4448</c:v>
                </c:pt>
                <c:pt idx="14">
                  <c:v>5138</c:v>
                </c:pt>
                <c:pt idx="15">
                  <c:v>38143</c:v>
                </c:pt>
                <c:pt idx="16">
                  <c:v>35685</c:v>
                </c:pt>
                <c:pt idx="17">
                  <c:v>211</c:v>
                </c:pt>
                <c:pt idx="18">
                  <c:v>51</c:v>
                </c:pt>
                <c:pt idx="19">
                  <c:v>10524</c:v>
                </c:pt>
                <c:pt idx="20">
                  <c:v>140565</c:v>
                </c:pt>
                <c:pt idx="21">
                  <c:v>1946</c:v>
                </c:pt>
                <c:pt idx="22">
                  <c:v>1462</c:v>
                </c:pt>
                <c:pt idx="23">
                  <c:v>459</c:v>
                </c:pt>
                <c:pt idx="24">
                  <c:v>692</c:v>
                </c:pt>
                <c:pt idx="25">
                  <c:v>8375</c:v>
                </c:pt>
                <c:pt idx="26">
                  <c:v>1863</c:v>
                </c:pt>
                <c:pt idx="27">
                  <c:v>16571</c:v>
                </c:pt>
                <c:pt idx="28">
                  <c:v>8954</c:v>
                </c:pt>
                <c:pt idx="29">
                  <c:v>400</c:v>
                </c:pt>
                <c:pt idx="30">
                  <c:v>36273</c:v>
                </c:pt>
                <c:pt idx="31">
                  <c:v>3973</c:v>
                </c:pt>
                <c:pt idx="32">
                  <c:v>817</c:v>
                </c:pt>
                <c:pt idx="33">
                  <c:v>22909</c:v>
                </c:pt>
                <c:pt idx="34">
                  <c:v>7403</c:v>
                </c:pt>
                <c:pt idx="35">
                  <c:v>19307</c:v>
                </c:pt>
              </c:numCache>
            </c:numRef>
          </c:val>
          <c:extLst>
            <c:ext xmlns:c16="http://schemas.microsoft.com/office/drawing/2014/chart" uri="{C3380CC4-5D6E-409C-BE32-E72D297353CC}">
              <c16:uniqueId val="{00000001-BBCA-472D-9C30-10EC8E409316}"/>
            </c:ext>
          </c:extLst>
        </c:ser>
        <c:dLbls>
          <c:showLegendKey val="0"/>
          <c:showVal val="0"/>
          <c:showCatName val="0"/>
          <c:showSerName val="0"/>
          <c:showPercent val="0"/>
          <c:showBubbleSize val="0"/>
        </c:dLbls>
        <c:gapWidth val="150"/>
        <c:axId val="1143795264"/>
        <c:axId val="497860240"/>
      </c:barChart>
      <c:catAx>
        <c:axId val="11437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0240"/>
        <c:crosses val="autoZero"/>
        <c:auto val="1"/>
        <c:lblAlgn val="ctr"/>
        <c:lblOffset val="100"/>
        <c:noMultiLvlLbl val="0"/>
      </c:catAx>
      <c:valAx>
        <c:axId val="49786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95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[covid_data.xlsx]States and Zones!PivotTable3</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Zone Case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5331567485616886E-2"/>
              <c:y val="-1.73083636771454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9.5331567485616886E-2"/>
              <c:y val="-1.73083636771454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9.5331567485616886E-2"/>
              <c:y val="-1.73083636771454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'States and Zones'!$B$3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69-4145-9033-8A1333D36C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69-4145-9033-8A1333D36C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69-4145-9033-8A1333D36C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69-4145-9033-8A1333D36CEE}"/>
              </c:ext>
            </c:extLst>
          </c:dPt>
          <c:dLbls>
            <c:dLbl>
              <c:idx val="1"/>
              <c:layout>
                <c:manualLayout>
                  <c:x val="-9.5331567485616886E-2"/>
                  <c:y val="-1.73083636771454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769-4145-9033-8A1333D36C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'States and Zones'!$A$4:$A$8</c:f>
              <c:strCache>
                <c:ptCount val="4"/>
                <c:pt idx="0">
                  <c:v>East</c:v>
                </c:pt>
                <c:pt idx="1">
                  <c:v>North</c:v>
                </c:pt>
                <c:pt idx="2">
                  <c:v>South</c:v>
                </c:pt>
                <c:pt idx="3">
                  <c:v>West</c:v>
                </c:pt>
              </c:strCache>
            </c:strRef>
          </c:cat>
          <c:val>
            <c:numRef>
              <c:f>'States and Zones'!$B$4:$B$8</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8-0769-4145-9033-8A1333D36C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[covid_data.xlsx]Cases and Recovered!PivotTable1</c:name>
    <c:fmtId val="1"/>
  </c:pivotSource>
  <c:chart>
    <c:title>
      <c:tx>
        <c:rich>
          <a:bodyPr rot="0" spcFirstLastPara="1" vertOverflow="ellipsis" vert="horz" wrap="square" anchor="ctr" anchorCtr="1"/>
          <a:lstStyle/>
          <a:p>
            <a:pPr>
              <a:defRPr sz="1400" b="0" i="0" u="none" strike="noStrike"/>
            </a:pPr>
            <a:r>
              <a:rPr lang="en-IN"/>
              <a:t>State-wise Cases vs Recovered</a:t>
            </a:r>
          </a:p>
        </c:rich>
      </c:tx>
      <c:overlay val="0"/>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'Cases and Recovered'!$B$3</c:f>
              <c:strCache>
                <c:ptCount val="1"/>
                <c:pt idx="0">
                  <c:v>Total Case</c:v>
                </c:pt>
              </c:strCache>
            </c:strRef>
          </c:tx>
          <c:spPr>
            <a:solidFill>
              <a:schemeClr val="accent6"/>
            </a:solidFill>
            <a:ln>
              <a:noFill/>
            </a:ln>
            <a:effectLst/>
          </c:spPr>
          <c:invertIfNegative val="0"/>
          <c:cat>
            <c:strRef>
              <c:f>'Cases and Recovered'!$A$4:$A$5</c:f>
              <c:strCache>
                <c:ptCount val="1"/>
                <c:pt idx="0">
                  <c:v>Daman and Diu</c:v>
                </c:pt>
              </c:strCache>
            </c:strRef>
          </c:cat>
          <c:val>
            <c:numRef>
              <c:f>'Cases and Recovered'!$B$4:$B$5</c:f>
              <c:numCache>
                <c:formatCode>General</c:formatCode>
                <c:ptCount val="1"/>
                <c:pt idx="0">
                  <c:v>10682</c:v>
                </c:pt>
              </c:numCache>
            </c:numRef>
          </c:val>
          <c:extLst>
            <c:ext xmlns:c16="http://schemas.microsoft.com/office/drawing/2014/chart" uri="{C3380CC4-5D6E-409C-BE32-E72D297353CC}">
              <c16:uniqueId val="{00000000-4D5C-4B5D-9552-E23603EBC714}"/>
            </c:ext>
          </c:extLst>
        </c:ser>
        <c:ser>
          <c:idx val="1"/>
          <c:order val="1"/>
          <c:tx>
            <c:strRef>
              <c:f>'Cases and Recovered'!$C$3</c:f>
              <c:strCache>
                <c:ptCount val="1"/>
                <c:pt idx="0">
                  <c:v> Discharged</c:v>
                </c:pt>
              </c:strCache>
            </c:strRef>
          </c:tx>
          <c:spPr>
            <a:solidFill>
              <a:schemeClr val="accent5"/>
            </a:solidFill>
            <a:ln>
              <a:noFill/>
            </a:ln>
            <a:effectLst/>
          </c:spPr>
          <c:invertIfNegative val="0"/>
          <c:cat>
            <c:strRef>
              <c:f>'Cases and Recovered'!$A$4:$A$5</c:f>
              <c:strCache>
                <c:ptCount val="1"/>
                <c:pt idx="0">
                  <c:v>Daman and Diu</c:v>
                </c:pt>
              </c:strCache>
            </c:strRef>
          </c:cat>
          <c:val>
            <c:numRef>
              <c:f>'Cases and Recovered'!$C$4:$C$5</c:f>
              <c:numCache>
                <c:formatCode>General</c:formatCode>
                <c:ptCount val="1"/>
                <c:pt idx="0">
                  <c:v>10678</c:v>
                </c:pt>
              </c:numCache>
            </c:numRef>
          </c:val>
          <c:extLst>
            <c:ext xmlns:c16="http://schemas.microsoft.com/office/drawing/2014/chart" uri="{C3380CC4-5D6E-409C-BE32-E72D297353CC}">
              <c16:uniqueId val="{00000001-4D5C-4B5D-9552-E23603EBC714}"/>
            </c:ext>
          </c:extLst>
        </c:ser>
        <c:dLbls>
          <c:showLegendKey val="0"/>
          <c:showVal val="0"/>
          <c:showCatName val="0"/>
          <c:showSerName val="0"/>
          <c:showPercent val="0"/>
          <c:showBubbleSize val="0"/>
        </c:dLbls>
        <c:gapWidth val="219"/>
        <c:overlap val="-27"/>
        <c:axId val="1377721200"/>
        <c:axId val="248664528"/>
      </c:barChart>
      <c:catAx>
        <c:axId val="1377721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664528"/>
        <c:crosses val="autoZero"/>
        <c:auto val="1"/>
        <c:lblAlgn val="ctr"/>
        <c:lblOffset val="100"/>
        <c:noMultiLvlLbl val="0"/>
      </c:catAx>
      <c:valAx>
        <c:axId val="248664528"/>
        <c:scaling>
          <c:orientation val="minMax"/>
        </c:scaling>
        <c:delete val="0"/>
        <c:axPos val="l"/>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721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[covid_data.xlsx]Sheet2!PivotTable1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Highest States – Total Cases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17374802930793"/>
          <c:y val="0.26273748006031472"/>
          <c:w val="0.52756933936821881"/>
          <c:h val="0.47762626345303522"/>
        </c:manualLayout>
      </c:layout>
      <c:barChart>
        <c:barDir val="bar"/>
        <c:grouping val="clustered"/>
        <c:varyColors val="0"/>
        <c:ser>
          <c:idx val="0"/>
          <c:order val="0"/>
          <c:tx>
            <c:strRef>
              <c:f>Sheet2!$B$2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Sheet2!$A$3:$A$4</c:f>
              <c:strCache>
                <c:ptCount val="1"/>
                <c:pt idx="0">
                  <c:v>Daman and Diu</c:v>
                </c:pt>
              </c:strCache>
            </c:strRef>
          </c:cat>
          <c:val>
            <c:numRef>
              <c:f>Sheet2!$B$3:$B$4</c:f>
              <c:numCache>
                <c:formatCode>General</c:formatCode>
                <c:ptCount val="1"/>
                <c:pt idx="0">
                  <c:v>10682</c:v>
                </c:pt>
              </c:numCache>
            </c:numRef>
          </c:val>
          <c:extLst>
            <c:ext xmlns:c16="http://schemas.microsoft.com/office/drawing/2014/chart" uri="{C3380CC4-5D6E-409C-BE32-E72D297353CC}">
              <c16:uniqueId val="{00000000-191F-4F08-9C1F-CF91CAB8ADEB}"/>
            </c:ext>
          </c:extLst>
        </c:ser>
        <c:dLbls>
          <c:dLblPos val="inEnd"/>
          <c:showLegendKey val="0"/>
          <c:showVal val="1"/>
          <c:showCatName val="0"/>
          <c:showSerName val="0"/>
          <c:showPercent val="0"/>
          <c:showBubbleSize val="0"/>
        </c:dLbls>
        <c:gapWidth val="182"/>
        <c:axId val="861640864"/>
        <c:axId val="497886160"/>
      </c:barChart>
      <c:catAx>
        <c:axId val="86164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86160"/>
        <c:crosses val="autoZero"/>
        <c:auto val="1"/>
        <c:lblAlgn val="ctr"/>
        <c:lblOffset val="100"/>
        <c:noMultiLvlLbl val="0"/>
      </c:catAx>
      <c:valAx>
        <c:axId val="49788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[covid_data.xlsx]Active And Deaths!PivotTable2</c:name>
    <c:fmtId val="0"/>
  </c:pivotSource>
  <c:chart>
    <c:title>
      <c:tx>
        <c:rich>
          <a:bodyPr rot="0" spcFirstLastPara="1" vertOverflow="ellipsis" vert="horz" wrap="square" anchor="ctr" anchorCtr="1"/>
          <a:lstStyle/>
          <a:p>
            <a:pPr>
              <a:defRPr sz="1400" b="0" i="0" u="none" strike="noStrike"/>
            </a:pPr>
            <a:r>
              <a:rPr lang="en-IN"/>
              <a:t>State-wise Active vs Deaths</a:t>
            </a:r>
          </a:p>
        </c:rich>
      </c:tx>
      <c:overlay val="0"/>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'Active And Deaths'!$B$1</c:f>
              <c:strCache>
                <c:ptCount val="1"/>
                <c:pt idx="0">
                  <c:v> Active</c:v>
                </c:pt>
              </c:strCache>
            </c:strRef>
          </c:tx>
          <c:spPr>
            <a:solidFill>
              <a:schemeClr val="accent1"/>
            </a:solidFill>
            <a:ln>
              <a:noFill/>
            </a:ln>
            <a:effectLst/>
          </c:spPr>
          <c:invertIfNegative val="0"/>
          <c:cat>
            <c:strRef>
              <c:f>'Active And Deaths'!$A$2:$A$38</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And Deaths'!$B$2:$B$38</c:f>
              <c:numCache>
                <c:formatCode>General</c:formatCode>
                <c:ptCount val="36"/>
                <c:pt idx="0">
                  <c:v>7</c:v>
                </c:pt>
                <c:pt idx="1">
                  <c:v>3128</c:v>
                </c:pt>
                <c:pt idx="2">
                  <c:v>42</c:v>
                </c:pt>
                <c:pt idx="3">
                  <c:v>3272</c:v>
                </c:pt>
                <c:pt idx="4">
                  <c:v>29</c:v>
                </c:pt>
                <c:pt idx="5">
                  <c:v>24</c:v>
                </c:pt>
                <c:pt idx="6">
                  <c:v>230</c:v>
                </c:pt>
                <c:pt idx="7">
                  <c:v>0</c:v>
                </c:pt>
                <c:pt idx="8">
                  <c:v>361</c:v>
                </c:pt>
                <c:pt idx="9">
                  <c:v>263</c:v>
                </c:pt>
                <c:pt idx="10">
                  <c:v>226</c:v>
                </c:pt>
                <c:pt idx="11">
                  <c:v>140</c:v>
                </c:pt>
                <c:pt idx="12">
                  <c:v>1100</c:v>
                </c:pt>
                <c:pt idx="13">
                  <c:v>1450</c:v>
                </c:pt>
                <c:pt idx="14">
                  <c:v>141</c:v>
                </c:pt>
                <c:pt idx="15">
                  <c:v>8056</c:v>
                </c:pt>
                <c:pt idx="16">
                  <c:v>69258</c:v>
                </c:pt>
                <c:pt idx="17">
                  <c:v>154</c:v>
                </c:pt>
                <c:pt idx="18">
                  <c:v>0</c:v>
                </c:pt>
                <c:pt idx="19">
                  <c:v>75</c:v>
                </c:pt>
                <c:pt idx="20">
                  <c:v>15866</c:v>
                </c:pt>
                <c:pt idx="21">
                  <c:v>799</c:v>
                </c:pt>
                <c:pt idx="22">
                  <c:v>277</c:v>
                </c:pt>
                <c:pt idx="23">
                  <c:v>5651</c:v>
                </c:pt>
                <c:pt idx="24">
                  <c:v>163</c:v>
                </c:pt>
                <c:pt idx="25">
                  <c:v>2534</c:v>
                </c:pt>
                <c:pt idx="26">
                  <c:v>275</c:v>
                </c:pt>
                <c:pt idx="27">
                  <c:v>318</c:v>
                </c:pt>
                <c:pt idx="28">
                  <c:v>71</c:v>
                </c:pt>
                <c:pt idx="29">
                  <c:v>121</c:v>
                </c:pt>
                <c:pt idx="30">
                  <c:v>9751</c:v>
                </c:pt>
                <c:pt idx="31">
                  <c:v>3741</c:v>
                </c:pt>
                <c:pt idx="32">
                  <c:v>116</c:v>
                </c:pt>
                <c:pt idx="33">
                  <c:v>90</c:v>
                </c:pt>
                <c:pt idx="34">
                  <c:v>158</c:v>
                </c:pt>
                <c:pt idx="35">
                  <c:v>8031</c:v>
                </c:pt>
              </c:numCache>
            </c:numRef>
          </c:val>
          <c:extLst>
            <c:ext xmlns:c16="http://schemas.microsoft.com/office/drawing/2014/chart" uri="{C3380CC4-5D6E-409C-BE32-E72D297353CC}">
              <c16:uniqueId val="{00000000-938A-4405-94CB-F22EA47301C0}"/>
            </c:ext>
          </c:extLst>
        </c:ser>
        <c:ser>
          <c:idx val="1"/>
          <c:order val="1"/>
          <c:tx>
            <c:strRef>
              <c:f>'Active And Deaths'!$C$1</c:f>
              <c:strCache>
                <c:ptCount val="1"/>
                <c:pt idx="0">
                  <c:v>Death</c:v>
                </c:pt>
              </c:strCache>
            </c:strRef>
          </c:tx>
          <c:spPr>
            <a:solidFill>
              <a:schemeClr val="accent2"/>
            </a:solidFill>
            <a:ln>
              <a:noFill/>
            </a:ln>
            <a:effectLst/>
          </c:spPr>
          <c:invertIfNegative val="0"/>
          <c:cat>
            <c:strRef>
              <c:f>'Active And Deaths'!$A$2:$A$38</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'Active And Deaths'!$C$2:$C$38</c:f>
              <c:numCache>
                <c:formatCode>General</c:formatCode>
                <c:ptCount val="36"/>
                <c:pt idx="0">
                  <c:v>129</c:v>
                </c:pt>
                <c:pt idx="1">
                  <c:v>14412</c:v>
                </c:pt>
                <c:pt idx="2">
                  <c:v>280</c:v>
                </c:pt>
                <c:pt idx="3">
                  <c:v>6047</c:v>
                </c:pt>
                <c:pt idx="4">
                  <c:v>9662</c:v>
                </c:pt>
                <c:pt idx="5">
                  <c:v>820</c:v>
                </c:pt>
                <c:pt idx="6">
                  <c:v>13588</c:v>
                </c:pt>
                <c:pt idx="7">
                  <c:v>4</c:v>
                </c:pt>
                <c:pt idx="8">
                  <c:v>25093</c:v>
                </c:pt>
                <c:pt idx="9">
                  <c:v>3374</c:v>
                </c:pt>
                <c:pt idx="10">
                  <c:v>10090</c:v>
                </c:pt>
                <c:pt idx="11">
                  <c:v>10050</c:v>
                </c:pt>
                <c:pt idx="12">
                  <c:v>3812</c:v>
                </c:pt>
                <c:pt idx="13">
                  <c:v>4448</c:v>
                </c:pt>
                <c:pt idx="14">
                  <c:v>5138</c:v>
                </c:pt>
                <c:pt idx="15">
                  <c:v>38143</c:v>
                </c:pt>
                <c:pt idx="16">
                  <c:v>35685</c:v>
                </c:pt>
                <c:pt idx="17">
                  <c:v>211</c:v>
                </c:pt>
                <c:pt idx="18">
                  <c:v>51</c:v>
                </c:pt>
                <c:pt idx="19">
                  <c:v>10524</c:v>
                </c:pt>
                <c:pt idx="20">
                  <c:v>140565</c:v>
                </c:pt>
                <c:pt idx="21">
                  <c:v>1946</c:v>
                </c:pt>
                <c:pt idx="22">
                  <c:v>1462</c:v>
                </c:pt>
                <c:pt idx="23">
                  <c:v>459</c:v>
                </c:pt>
                <c:pt idx="24">
                  <c:v>692</c:v>
                </c:pt>
                <c:pt idx="25">
                  <c:v>8375</c:v>
                </c:pt>
                <c:pt idx="26">
                  <c:v>1863</c:v>
                </c:pt>
                <c:pt idx="27">
                  <c:v>16571</c:v>
                </c:pt>
                <c:pt idx="28">
                  <c:v>8954</c:v>
                </c:pt>
                <c:pt idx="29">
                  <c:v>400</c:v>
                </c:pt>
                <c:pt idx="30">
                  <c:v>36273</c:v>
                </c:pt>
                <c:pt idx="31">
                  <c:v>3973</c:v>
                </c:pt>
                <c:pt idx="32">
                  <c:v>817</c:v>
                </c:pt>
                <c:pt idx="33">
                  <c:v>22909</c:v>
                </c:pt>
                <c:pt idx="34">
                  <c:v>7403</c:v>
                </c:pt>
                <c:pt idx="35">
                  <c:v>19307</c:v>
                </c:pt>
              </c:numCache>
            </c:numRef>
          </c:val>
          <c:extLst>
            <c:ext xmlns:c16="http://schemas.microsoft.com/office/drawing/2014/chart" uri="{C3380CC4-5D6E-409C-BE32-E72D297353CC}">
              <c16:uniqueId val="{00000001-938A-4405-94CB-F22EA47301C0}"/>
            </c:ext>
          </c:extLst>
        </c:ser>
        <c:dLbls>
          <c:showLegendKey val="0"/>
          <c:showVal val="0"/>
          <c:showCatName val="0"/>
          <c:showSerName val="0"/>
          <c:showPercent val="0"/>
          <c:showBubbleSize val="0"/>
        </c:dLbls>
        <c:gapWidth val="150"/>
        <c:axId val="1143795264"/>
        <c:axId val="497860240"/>
      </c:barChart>
      <c:catAx>
        <c:axId val="11437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860240"/>
        <c:crosses val="autoZero"/>
        <c:auto val="1"/>
        <c:lblAlgn val="ctr"/>
        <c:lblOffset val="100"/>
        <c:noMultiLvlLbl val="0"/>
      </c:catAx>
      <c:valAx>
        <c:axId val="49786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95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[covid_data.xlsx]States and Zones!PivotTable3</c:name>
    <c:fmtId val="1"/>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Zone Case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5331567485616886E-2"/>
              <c:y val="-1.73083636771454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'States and Zones'!$B$3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02-466C-A742-E877FE52D422}"/>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1"/>
              <c:layout>
                <c:manualLayout>
                  <c:x val="-9.5331567485616886E-2"/>
                  <c:y val="-1.73083636771454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02-466C-A742-E877FE52D4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'States and Zones'!$A$4:$A$8</c:f>
              <c:strCache>
                <c:ptCount val="4"/>
                <c:pt idx="0">
                  <c:v>East</c:v>
                </c:pt>
                <c:pt idx="1">
                  <c:v>North</c:v>
                </c:pt>
                <c:pt idx="2">
                  <c:v>South</c:v>
                </c:pt>
                <c:pt idx="3">
                  <c:v>West</c:v>
                </c:pt>
              </c:strCache>
            </c:strRef>
          </c:cat>
          <c:val>
            <c:numRef>
              <c:f>'States and Zones'!$B$4:$B$8</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0-8102-466C-A742-E877FE52D4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[covid_data.xlsx]Recovered Index!PivotTable4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'Recovered Index'!$B$1</c:f>
              <c:strCache>
                <c:ptCount val="1"/>
                <c:pt idx="0">
                  <c:v>Total</c:v>
                </c:pt>
              </c:strCache>
            </c:strRef>
          </c:tx>
          <c:spPr>
            <a:solidFill>
              <a:schemeClr val="accent1"/>
            </a:solidFill>
            <a:ln>
              <a:noFill/>
            </a:ln>
            <a:effectLst/>
          </c:spPr>
          <c:invertIfNegative val="0"/>
          <c:cat>
            <c:strRef>
              <c:f>'Recovered Index'!$A$2:$A$38</c:f>
              <c:strCache>
                <c:ptCount val="36"/>
                <c:pt idx="0">
                  <c:v>Daman and Diu</c:v>
                </c:pt>
                <c:pt idx="1">
                  <c:v>Lakshadweep</c:v>
                </c:pt>
                <c:pt idx="2">
                  <c:v>3</c:v>
                </c:pt>
                <c:pt idx="3">
                  <c:v>Andhra Pradesh</c:v>
                </c:pt>
                <c:pt idx="4">
                  <c:v>Rajasthan</c:v>
                </c:pt>
                <c:pt idx="5">
                  <c:v>Odisha</c:v>
                </c:pt>
                <c:pt idx="6">
                  <c:v>Tripura</c:v>
                </c:pt>
                <c:pt idx="7">
                  <c:v>Telengana</c:v>
                </c:pt>
                <c:pt idx="8">
                  <c:v>Gujarat</c:v>
                </c:pt>
                <c:pt idx="9">
                  <c:v>Chandigarh</c:v>
                </c:pt>
                <c:pt idx="10">
                  <c:v>Haryana</c:v>
                </c:pt>
                <c:pt idx="11">
                  <c:v>Bihar</c:v>
                </c:pt>
                <c:pt idx="12">
                  <c:v>Uttar Pradesh</c:v>
                </c:pt>
                <c:pt idx="13">
                  <c:v>Madhya Pradesh</c:v>
                </c:pt>
                <c:pt idx="14">
                  <c:v>Chhattisgarh</c:v>
                </c:pt>
                <c:pt idx="15">
                  <c:v>Jharkhand</c:v>
                </c:pt>
                <c:pt idx="16">
                  <c:v>Assam</c:v>
                </c:pt>
                <c:pt idx="17">
                  <c:v>Karnataka</c:v>
                </c:pt>
                <c:pt idx="18">
                  <c:v>Sikkim</c:v>
                </c:pt>
                <c:pt idx="19">
                  <c:v>Puducherry</c:v>
                </c:pt>
                <c:pt idx="20">
                  <c:v>Tamil Nadu</c:v>
                </c:pt>
                <c:pt idx="21">
                  <c:v>West Bengal</c:v>
                </c:pt>
                <c:pt idx="22">
                  <c:v>Ladakh</c:v>
                </c:pt>
                <c:pt idx="23">
                  <c:v>Delhi</c:v>
                </c:pt>
                <c:pt idx="24">
                  <c:v>Jammu and Kashmir</c:v>
                </c:pt>
                <c:pt idx="25">
                  <c:v>Andaman and Nicobar</c:v>
                </c:pt>
                <c:pt idx="26">
                  <c:v>Goa</c:v>
                </c:pt>
                <c:pt idx="27">
                  <c:v>Meghalaya</c:v>
                </c:pt>
                <c:pt idx="28">
                  <c:v>Kerala</c:v>
                </c:pt>
                <c:pt idx="29">
                  <c:v>Himachal Pradesh</c:v>
                </c:pt>
                <c:pt idx="30">
                  <c:v>Uttarakhand</c:v>
                </c:pt>
                <c:pt idx="31">
                  <c:v>Manipur</c:v>
                </c:pt>
                <c:pt idx="32">
                  <c:v>Maharashtra</c:v>
                </c:pt>
                <c:pt idx="33">
                  <c:v>Nagaland</c:v>
                </c:pt>
                <c:pt idx="34">
                  <c:v>Punjab</c:v>
                </c:pt>
                <c:pt idx="35">
                  <c:v>Mizoram</c:v>
                </c:pt>
              </c:strCache>
            </c:strRef>
          </c:cat>
          <c:val>
            <c:numRef>
              <c:f>'Recovered Index'!$B$2:$B$38</c:f>
              <c:numCache>
                <c:formatCode>General</c:formatCode>
                <c:ptCount val="36"/>
                <c:pt idx="0">
                  <c:v>99.96</c:v>
                </c:pt>
                <c:pt idx="1">
                  <c:v>99.51</c:v>
                </c:pt>
                <c:pt idx="2">
                  <c:v>99.42</c:v>
                </c:pt>
                <c:pt idx="3">
                  <c:v>99.15</c:v>
                </c:pt>
                <c:pt idx="4">
                  <c:v>99.05</c:v>
                </c:pt>
                <c:pt idx="5">
                  <c:v>98.96</c:v>
                </c:pt>
                <c:pt idx="6">
                  <c:v>98.9</c:v>
                </c:pt>
                <c:pt idx="7">
                  <c:v>98.85</c:v>
                </c:pt>
                <c:pt idx="8">
                  <c:v>98.75</c:v>
                </c:pt>
                <c:pt idx="9">
                  <c:v>98.71</c:v>
                </c:pt>
                <c:pt idx="10">
                  <c:v>98.68</c:v>
                </c:pt>
                <c:pt idx="11">
                  <c:v>98.67</c:v>
                </c:pt>
                <c:pt idx="12">
                  <c:v>98.66</c:v>
                </c:pt>
                <c:pt idx="13">
                  <c:v>98.66</c:v>
                </c:pt>
                <c:pt idx="14">
                  <c:v>98.63</c:v>
                </c:pt>
                <c:pt idx="15">
                  <c:v>98.49</c:v>
                </c:pt>
                <c:pt idx="16">
                  <c:v>98.48</c:v>
                </c:pt>
                <c:pt idx="17">
                  <c:v>98.46</c:v>
                </c:pt>
                <c:pt idx="18">
                  <c:v>98.38</c:v>
                </c:pt>
                <c:pt idx="19">
                  <c:v>98.33</c:v>
                </c:pt>
                <c:pt idx="20">
                  <c:v>98.3</c:v>
                </c:pt>
                <c:pt idx="21">
                  <c:v>98.29</c:v>
                </c:pt>
                <c:pt idx="22">
                  <c:v>98.27</c:v>
                </c:pt>
                <c:pt idx="23">
                  <c:v>98.23</c:v>
                </c:pt>
                <c:pt idx="24">
                  <c:v>98.23</c:v>
                </c:pt>
                <c:pt idx="25">
                  <c:v>98.23</c:v>
                </c:pt>
                <c:pt idx="26">
                  <c:v>97.96</c:v>
                </c:pt>
                <c:pt idx="27">
                  <c:v>97.93</c:v>
                </c:pt>
                <c:pt idx="28">
                  <c:v>97.92</c:v>
                </c:pt>
                <c:pt idx="29">
                  <c:v>97.82</c:v>
                </c:pt>
                <c:pt idx="30">
                  <c:v>97.8</c:v>
                </c:pt>
                <c:pt idx="31">
                  <c:v>97.79</c:v>
                </c:pt>
                <c:pt idx="32">
                  <c:v>97.64</c:v>
                </c:pt>
                <c:pt idx="33">
                  <c:v>97.33</c:v>
                </c:pt>
                <c:pt idx="34">
                  <c:v>97.2</c:v>
                </c:pt>
                <c:pt idx="35">
                  <c:v>95.25</c:v>
                </c:pt>
              </c:numCache>
            </c:numRef>
          </c:val>
          <c:extLst>
            <c:ext xmlns:c16="http://schemas.microsoft.com/office/drawing/2014/chart" uri="{C3380CC4-5D6E-409C-BE32-E72D297353CC}">
              <c16:uniqueId val="{00000000-2305-4732-A8E5-EF9DF9D524D7}"/>
            </c:ext>
          </c:extLst>
        </c:ser>
        <c:dLbls>
          <c:showLegendKey val="0"/>
          <c:showVal val="0"/>
          <c:showCatName val="0"/>
          <c:showSerName val="0"/>
          <c:showPercent val="0"/>
          <c:showBubbleSize val="0"/>
        </c:dLbls>
        <c:gapWidth val="182"/>
        <c:axId val="1889063311"/>
        <c:axId val="1788182319"/>
      </c:barChart>
      <c:catAx>
        <c:axId val="188906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82319"/>
        <c:crosses val="autoZero"/>
        <c:auto val="1"/>
        <c:lblAlgn val="ctr"/>
        <c:lblOffset val="100"/>
        <c:noMultiLvlLbl val="0"/>
      </c:catAx>
      <c:valAx>
        <c:axId val="178818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6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[covid_data.xlsx]Death Index!PivotTable5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Death</a:t>
            </a:r>
            <a:r>
              <a:rPr lang="en-IN" baseline="0"/>
              <a:t> Rate</a:t>
            </a:r>
            <a:endParaRPr lang="en-IN"/>
          </a:p>
        </c:rich>
      </c:tx>
      <c:layout>
        <c:manualLayout>
          <c:xMode val="edge"/>
          <c:yMode val="edge"/>
          <c:x val="0.80959154615476991"/>
          <c:y val="7.4766773556290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'Death Index'!$B$1</c:f>
              <c:strCache>
                <c:ptCount val="1"/>
                <c:pt idx="0">
                  <c:v>Total</c:v>
                </c:pt>
              </c:strCache>
            </c:strRef>
          </c:tx>
          <c:spPr>
            <a:solidFill>
              <a:schemeClr val="accent1"/>
            </a:solidFill>
            <a:ln>
              <a:noFill/>
            </a:ln>
            <a:effectLst/>
          </c:spPr>
          <c:invertIfNegative val="0"/>
          <c:cat>
            <c:strRef>
              <c:f>'Death Index'!$A$2:$A$38</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'Death Index'!$B$2:$B$38</c:f>
              <c:numCache>
                <c:formatCode>General</c:formatCode>
                <c:ptCount val="36"/>
                <c:pt idx="0">
                  <c:v>1.68</c:v>
                </c:pt>
                <c:pt idx="1">
                  <c:v>0.7</c:v>
                </c:pt>
                <c:pt idx="2">
                  <c:v>0.51</c:v>
                </c:pt>
                <c:pt idx="3">
                  <c:v>0.99</c:v>
                </c:pt>
                <c:pt idx="4">
                  <c:v>1.33</c:v>
                </c:pt>
                <c:pt idx="5">
                  <c:v>1.25</c:v>
                </c:pt>
                <c:pt idx="6">
                  <c:v>1.35</c:v>
                </c:pt>
                <c:pt idx="7">
                  <c:v>0.04</c:v>
                </c:pt>
                <c:pt idx="8">
                  <c:v>1.74</c:v>
                </c:pt>
                <c:pt idx="9">
                  <c:v>1.89</c:v>
                </c:pt>
                <c:pt idx="10">
                  <c:v>1.22</c:v>
                </c:pt>
                <c:pt idx="11">
                  <c:v>1.3</c:v>
                </c:pt>
                <c:pt idx="12">
                  <c:v>1.69</c:v>
                </c:pt>
                <c:pt idx="13">
                  <c:v>1.33</c:v>
                </c:pt>
                <c:pt idx="14">
                  <c:v>1.47</c:v>
                </c:pt>
                <c:pt idx="15">
                  <c:v>1.27</c:v>
                </c:pt>
                <c:pt idx="16">
                  <c:v>0.71</c:v>
                </c:pt>
                <c:pt idx="17">
                  <c:v>1</c:v>
                </c:pt>
                <c:pt idx="18">
                  <c:v>0.49</c:v>
                </c:pt>
                <c:pt idx="19">
                  <c:v>1.33</c:v>
                </c:pt>
                <c:pt idx="20">
                  <c:v>2.12</c:v>
                </c:pt>
                <c:pt idx="21">
                  <c:v>1.56</c:v>
                </c:pt>
                <c:pt idx="22">
                  <c:v>1.74</c:v>
                </c:pt>
                <c:pt idx="23">
                  <c:v>0.36</c:v>
                </c:pt>
                <c:pt idx="24">
                  <c:v>2.16</c:v>
                </c:pt>
                <c:pt idx="25">
                  <c:v>0.8</c:v>
                </c:pt>
                <c:pt idx="26">
                  <c:v>1.45</c:v>
                </c:pt>
                <c:pt idx="27">
                  <c:v>2.75</c:v>
                </c:pt>
                <c:pt idx="28">
                  <c:v>0.94</c:v>
                </c:pt>
                <c:pt idx="29">
                  <c:v>1.25</c:v>
                </c:pt>
                <c:pt idx="30">
                  <c:v>1.34</c:v>
                </c:pt>
                <c:pt idx="31">
                  <c:v>0.59</c:v>
                </c:pt>
                <c:pt idx="32">
                  <c:v>0.96</c:v>
                </c:pt>
                <c:pt idx="33">
                  <c:v>1.34</c:v>
                </c:pt>
                <c:pt idx="34">
                  <c:v>2.15</c:v>
                </c:pt>
                <c:pt idx="35">
                  <c:v>1.2</c:v>
                </c:pt>
              </c:numCache>
            </c:numRef>
          </c:val>
          <c:extLst>
            <c:ext xmlns:c16="http://schemas.microsoft.com/office/drawing/2014/chart" uri="{C3380CC4-5D6E-409C-BE32-E72D297353CC}">
              <c16:uniqueId val="{00000000-B5DD-4A13-A06B-209CCD4303D9}"/>
            </c:ext>
          </c:extLst>
        </c:ser>
        <c:dLbls>
          <c:showLegendKey val="0"/>
          <c:showVal val="0"/>
          <c:showCatName val="0"/>
          <c:showSerName val="0"/>
          <c:showPercent val="0"/>
          <c:showBubbleSize val="0"/>
        </c:dLbls>
        <c:gapWidth val="182"/>
        <c:axId val="1889084191"/>
        <c:axId val="1788139599"/>
      </c:barChart>
      <c:catAx>
        <c:axId val="18890841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139599"/>
        <c:crosses val="autoZero"/>
        <c:auto val="1"/>
        <c:lblAlgn val="ctr"/>
        <c:lblOffset val="100"/>
        <c:noMultiLvlLbl val="0"/>
      </c:catAx>
      <c:valAx>
        <c:axId val="17881395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8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45720</xdr:rowOff>
    </xdr:from>
    <xdr:to>
      <xdr:col>5</xdr:col>
      <xdr:colOff>349080</xdr:colOff>
      <xdr:row>3</xdr:row>
      <xdr:rowOff>8280</xdr:rowOff>
    </xdr:to>
    <xdr:sp macro="" textlink="">
      <xdr:nvSpPr>
        <xdr:cNvPr id="2" name="Rectangle 1">
          <a:extLst>
            <a:ext uri="{FF2B5EF4-FFF2-40B4-BE49-F238E27FC236}">
              <a16:creationId xmlns:a16="http://schemas.microsoft.com/office/drawing/2014/main" id="{1379D53E-8EE5-9112-11CE-0A7648517836}"/>
            </a:ext>
          </a:extLst>
        </xdr:cNvPr>
        <xdr:cNvSpPr/>
      </xdr:nvSpPr>
      <xdr:spPr>
        <a:xfrm>
          <a:off x="106680" y="45720"/>
          <a:ext cx="3290400" cy="51120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lt1"/>
              </a:solidFill>
              <a:effectLst/>
              <a:latin typeface="+mn-lt"/>
              <a:ea typeface="+mn-ea"/>
              <a:cs typeface="+mn-cs"/>
            </a:rPr>
            <a:t>Covid-19 Data</a:t>
          </a:r>
          <a:r>
            <a:rPr lang="en-IN" sz="2400" b="1" baseline="0">
              <a:solidFill>
                <a:schemeClr val="lt1"/>
              </a:solidFill>
              <a:effectLst/>
              <a:latin typeface="+mn-lt"/>
              <a:ea typeface="+mn-ea"/>
              <a:cs typeface="+mn-cs"/>
            </a:rPr>
            <a:t> : India</a:t>
          </a:r>
          <a:endParaRPr lang="en-IN" sz="2400" b="1">
            <a:effectLst/>
          </a:endParaRPr>
        </a:p>
        <a:p>
          <a:pPr algn="l"/>
          <a:endParaRPr lang="en-IN" sz="2400" b="1"/>
        </a:p>
      </xdr:txBody>
    </xdr:sp>
    <xdr:clientData/>
  </xdr:twoCellAnchor>
  <xdr:twoCellAnchor>
    <xdr:from>
      <xdr:col>5</xdr:col>
      <xdr:colOff>396240</xdr:colOff>
      <xdr:row>0</xdr:row>
      <xdr:rowOff>95190</xdr:rowOff>
    </xdr:from>
    <xdr:to>
      <xdr:col>6</xdr:col>
      <xdr:colOff>896128</xdr:colOff>
      <xdr:row>3</xdr:row>
      <xdr:rowOff>15240</xdr:rowOff>
    </xdr:to>
    <xdr:sp macro="" textlink="">
      <xdr:nvSpPr>
        <xdr:cNvPr id="3" name="Rectangle: Rounded Corners 2">
          <a:extLst>
            <a:ext uri="{FF2B5EF4-FFF2-40B4-BE49-F238E27FC236}">
              <a16:creationId xmlns:a16="http://schemas.microsoft.com/office/drawing/2014/main" id="{24A02E20-E939-756F-B651-2E950B233D75}"/>
            </a:ext>
          </a:extLst>
        </xdr:cNvPr>
        <xdr:cNvSpPr/>
      </xdr:nvSpPr>
      <xdr:spPr>
        <a:xfrm>
          <a:off x="3444240" y="95190"/>
          <a:ext cx="1109488" cy="462975"/>
        </a:xfrm>
        <a:prstGeom prst="roundRect">
          <a:avLst/>
        </a:prstGeom>
        <a:solidFill>
          <a:srgbClr val="FFFF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57287</xdr:colOff>
      <xdr:row>0</xdr:row>
      <xdr:rowOff>85695</xdr:rowOff>
    </xdr:from>
    <xdr:to>
      <xdr:col>8</xdr:col>
      <xdr:colOff>559080</xdr:colOff>
      <xdr:row>3</xdr:row>
      <xdr:rowOff>12528</xdr:rowOff>
    </xdr:to>
    <xdr:sp macro="" textlink="">
      <xdr:nvSpPr>
        <xdr:cNvPr id="4" name="Rectangle: Rounded Corners 3">
          <a:extLst>
            <a:ext uri="{FF2B5EF4-FFF2-40B4-BE49-F238E27FC236}">
              <a16:creationId xmlns:a16="http://schemas.microsoft.com/office/drawing/2014/main" id="{4B054AFD-774D-474E-B3AD-683F563BAC35}"/>
            </a:ext>
          </a:extLst>
        </xdr:cNvPr>
        <xdr:cNvSpPr/>
      </xdr:nvSpPr>
      <xdr:spPr>
        <a:xfrm>
          <a:off x="4648337" y="85695"/>
          <a:ext cx="1111393" cy="469758"/>
        </a:xfrm>
        <a:prstGeom prst="roundRect">
          <a:avLst/>
        </a:prstGeom>
        <a:solidFill>
          <a:schemeClr val="accent3">
            <a:lumMod val="60000"/>
            <a:lumOff val="4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69707</xdr:colOff>
      <xdr:row>0</xdr:row>
      <xdr:rowOff>76200</xdr:rowOff>
    </xdr:from>
    <xdr:to>
      <xdr:col>10</xdr:col>
      <xdr:colOff>571500</xdr:colOff>
      <xdr:row>3</xdr:row>
      <xdr:rowOff>3033</xdr:rowOff>
    </xdr:to>
    <xdr:sp macro="" textlink="">
      <xdr:nvSpPr>
        <xdr:cNvPr id="5" name="Rectangle: Rounded Corners 4">
          <a:extLst>
            <a:ext uri="{FF2B5EF4-FFF2-40B4-BE49-F238E27FC236}">
              <a16:creationId xmlns:a16="http://schemas.microsoft.com/office/drawing/2014/main" id="{F517D894-0D17-43D4-B6E8-F66A3D3349ED}"/>
            </a:ext>
          </a:extLst>
        </xdr:cNvPr>
        <xdr:cNvSpPr/>
      </xdr:nvSpPr>
      <xdr:spPr>
        <a:xfrm>
          <a:off x="5879957" y="76200"/>
          <a:ext cx="1111393" cy="469758"/>
        </a:xfrm>
        <a:prstGeom prst="roundRect">
          <a:avLst/>
        </a:prstGeom>
        <a:solidFill>
          <a:srgbClr val="FF0000"/>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293370</xdr:colOff>
      <xdr:row>1</xdr:row>
      <xdr:rowOff>78105</xdr:rowOff>
    </xdr:from>
    <xdr:to>
      <xdr:col>10</xdr:col>
      <xdr:colOff>344805</xdr:colOff>
      <xdr:row>2</xdr:row>
      <xdr:rowOff>148590</xdr:rowOff>
    </xdr:to>
    <xdr:sp macro="" textlink="">
      <xdr:nvSpPr>
        <xdr:cNvPr id="8" name="TextBox 7">
          <a:extLst>
            <a:ext uri="{FF2B5EF4-FFF2-40B4-BE49-F238E27FC236}">
              <a16:creationId xmlns:a16="http://schemas.microsoft.com/office/drawing/2014/main" id="{C115F2B1-131F-6170-06F5-200CC2F98081}"/>
            </a:ext>
          </a:extLst>
        </xdr:cNvPr>
        <xdr:cNvSpPr txBox="1"/>
      </xdr:nvSpPr>
      <xdr:spPr>
        <a:xfrm>
          <a:off x="6103620" y="259080"/>
          <a:ext cx="661035"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1.3</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5</xdr:col>
      <xdr:colOff>541020</xdr:colOff>
      <xdr:row>0</xdr:row>
      <xdr:rowOff>129540</xdr:rowOff>
    </xdr:from>
    <xdr:to>
      <xdr:col>6</xdr:col>
      <xdr:colOff>876300</xdr:colOff>
      <xdr:row>2</xdr:row>
      <xdr:rowOff>0</xdr:rowOff>
    </xdr:to>
    <xdr:sp macro="" textlink="">
      <xdr:nvSpPr>
        <xdr:cNvPr id="9" name="TextBox 8">
          <a:extLst>
            <a:ext uri="{FF2B5EF4-FFF2-40B4-BE49-F238E27FC236}">
              <a16:creationId xmlns:a16="http://schemas.microsoft.com/office/drawing/2014/main" id="{2FE6BEBF-EB5D-C2A5-145F-6D35B9F33584}"/>
            </a:ext>
          </a:extLst>
        </xdr:cNvPr>
        <xdr:cNvSpPr txBox="1"/>
      </xdr:nvSpPr>
      <xdr:spPr>
        <a:xfrm>
          <a:off x="3589020" y="129540"/>
          <a:ext cx="944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t>Total Cases</a:t>
          </a:r>
        </a:p>
      </xdr:txBody>
    </xdr:sp>
    <xdr:clientData/>
  </xdr:twoCellAnchor>
  <xdr:twoCellAnchor>
    <xdr:from>
      <xdr:col>9</xdr:col>
      <xdr:colOff>190500</xdr:colOff>
      <xdr:row>0</xdr:row>
      <xdr:rowOff>114300</xdr:rowOff>
    </xdr:from>
    <xdr:to>
      <xdr:col>10</xdr:col>
      <xdr:colOff>483870</xdr:colOff>
      <xdr:row>1</xdr:row>
      <xdr:rowOff>102870</xdr:rowOff>
    </xdr:to>
    <xdr:sp macro="" textlink="">
      <xdr:nvSpPr>
        <xdr:cNvPr id="10" name="TextBox 9">
          <a:extLst>
            <a:ext uri="{FF2B5EF4-FFF2-40B4-BE49-F238E27FC236}">
              <a16:creationId xmlns:a16="http://schemas.microsoft.com/office/drawing/2014/main" id="{F08A76E9-8E1C-4017-8B17-EE235A7A16F3}"/>
            </a:ext>
          </a:extLst>
        </xdr:cNvPr>
        <xdr:cNvSpPr txBox="1"/>
      </xdr:nvSpPr>
      <xdr:spPr>
        <a:xfrm>
          <a:off x="6000750" y="114300"/>
          <a:ext cx="902970" cy="16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Death</a:t>
          </a:r>
        </a:p>
      </xdr:txBody>
    </xdr:sp>
    <xdr:clientData/>
  </xdr:twoCellAnchor>
  <xdr:twoCellAnchor>
    <xdr:from>
      <xdr:col>7</xdr:col>
      <xdr:colOff>190500</xdr:colOff>
      <xdr:row>0</xdr:row>
      <xdr:rowOff>152400</xdr:rowOff>
    </xdr:from>
    <xdr:to>
      <xdr:col>8</xdr:col>
      <xdr:colOff>434340</xdr:colOff>
      <xdr:row>1</xdr:row>
      <xdr:rowOff>129540</xdr:rowOff>
    </xdr:to>
    <xdr:sp macro="" textlink="">
      <xdr:nvSpPr>
        <xdr:cNvPr id="11" name="TextBox 10">
          <a:extLst>
            <a:ext uri="{FF2B5EF4-FFF2-40B4-BE49-F238E27FC236}">
              <a16:creationId xmlns:a16="http://schemas.microsoft.com/office/drawing/2014/main" id="{1AE75D24-1A64-489A-8E47-0C13DA993126}"/>
            </a:ext>
          </a:extLst>
        </xdr:cNvPr>
        <xdr:cNvSpPr txBox="1"/>
      </xdr:nvSpPr>
      <xdr:spPr>
        <a:xfrm>
          <a:off x="4781550" y="152400"/>
          <a:ext cx="853440" cy="158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t>Recovered</a:t>
          </a:r>
        </a:p>
      </xdr:txBody>
    </xdr:sp>
    <xdr:clientData/>
  </xdr:twoCellAnchor>
  <xdr:twoCellAnchor>
    <xdr:from>
      <xdr:col>5</xdr:col>
      <xdr:colOff>556260</xdr:colOff>
      <xdr:row>1</xdr:row>
      <xdr:rowOff>137160</xdr:rowOff>
    </xdr:from>
    <xdr:to>
      <xdr:col>6</xdr:col>
      <xdr:colOff>647700</xdr:colOff>
      <xdr:row>2</xdr:row>
      <xdr:rowOff>160020</xdr:rowOff>
    </xdr:to>
    <xdr:sp macro="" textlink="">
      <xdr:nvSpPr>
        <xdr:cNvPr id="12" name="TextBox 11">
          <a:extLst>
            <a:ext uri="{FF2B5EF4-FFF2-40B4-BE49-F238E27FC236}">
              <a16:creationId xmlns:a16="http://schemas.microsoft.com/office/drawing/2014/main" id="{1342187C-A65C-4B5E-8681-56F6B2A91FF3}"/>
            </a:ext>
          </a:extLst>
        </xdr:cNvPr>
        <xdr:cNvSpPr txBox="1"/>
      </xdr:nvSpPr>
      <xdr:spPr>
        <a:xfrm>
          <a:off x="3604260" y="320040"/>
          <a:ext cx="7010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3.44</a:t>
          </a:r>
          <a:r>
            <a:rPr lang="en-IN" sz="1100" b="0" i="0" u="none" strike="noStrike">
              <a:solidFill>
                <a:schemeClr val="dk1"/>
              </a:solidFill>
              <a:effectLst/>
              <a:latin typeface="+mn-lt"/>
              <a:ea typeface="+mn-ea"/>
              <a:cs typeface="+mn-cs"/>
            </a:rPr>
            <a:t> cr</a:t>
          </a:r>
          <a:r>
            <a:rPr lang="en-IN" sz="1200">
              <a:effectLst/>
            </a:rPr>
            <a:t> </a:t>
          </a:r>
          <a:endParaRPr lang="en-IN" sz="1200" b="1"/>
        </a:p>
      </xdr:txBody>
    </xdr:sp>
    <xdr:clientData/>
  </xdr:twoCellAnchor>
  <xdr:twoCellAnchor>
    <xdr:from>
      <xdr:col>7</xdr:col>
      <xdr:colOff>228600</xdr:colOff>
      <xdr:row>5</xdr:row>
      <xdr:rowOff>123825</xdr:rowOff>
    </xdr:from>
    <xdr:to>
      <xdr:col>8</xdr:col>
      <xdr:colOff>466725</xdr:colOff>
      <xdr:row>6</xdr:row>
      <xdr:rowOff>133350</xdr:rowOff>
    </xdr:to>
    <xdr:sp macro="" textlink="">
      <xdr:nvSpPr>
        <xdr:cNvPr id="13" name="Rectangle 12">
          <a:extLst>
            <a:ext uri="{FF2B5EF4-FFF2-40B4-BE49-F238E27FC236}">
              <a16:creationId xmlns:a16="http://schemas.microsoft.com/office/drawing/2014/main" id="{CA6A62D5-AB3A-B0F3-C97A-FE6C31F5F218}"/>
            </a:ext>
          </a:extLst>
        </xdr:cNvPr>
        <xdr:cNvSpPr/>
      </xdr:nvSpPr>
      <xdr:spPr>
        <a:xfrm>
          <a:off x="4819650" y="1028700"/>
          <a:ext cx="847725" cy="190500"/>
        </a:xfrm>
        <a:prstGeom prst="rect">
          <a:avLst/>
        </a:prstGeom>
        <a:solidFill>
          <a:sysClr val="window" lastClr="FFFFFF"/>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361950</xdr:colOff>
      <xdr:row>1</xdr:row>
      <xdr:rowOff>161925</xdr:rowOff>
    </xdr:from>
    <xdr:to>
      <xdr:col>8</xdr:col>
      <xdr:colOff>323850</xdr:colOff>
      <xdr:row>2</xdr:row>
      <xdr:rowOff>133350</xdr:rowOff>
    </xdr:to>
    <xdr:sp macro="" textlink="">
      <xdr:nvSpPr>
        <xdr:cNvPr id="14" name="Rectangle 13">
          <a:extLst>
            <a:ext uri="{FF2B5EF4-FFF2-40B4-BE49-F238E27FC236}">
              <a16:creationId xmlns:a16="http://schemas.microsoft.com/office/drawing/2014/main" id="{05485423-899E-AF68-30AD-09B0EE1E5236}"/>
            </a:ext>
          </a:extLst>
        </xdr:cNvPr>
        <xdr:cNvSpPr/>
      </xdr:nvSpPr>
      <xdr:spPr>
        <a:xfrm>
          <a:off x="4953000" y="342900"/>
          <a:ext cx="571500" cy="15240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228600</xdr:colOff>
      <xdr:row>1</xdr:row>
      <xdr:rowOff>167640</xdr:rowOff>
    </xdr:from>
    <xdr:to>
      <xdr:col>8</xdr:col>
      <xdr:colOff>445770</xdr:colOff>
      <xdr:row>2</xdr:row>
      <xdr:rowOff>152400</xdr:rowOff>
    </xdr:to>
    <xdr:sp macro="" textlink="">
      <xdr:nvSpPr>
        <xdr:cNvPr id="18" name="TextBox 17">
          <a:extLst>
            <a:ext uri="{FF2B5EF4-FFF2-40B4-BE49-F238E27FC236}">
              <a16:creationId xmlns:a16="http://schemas.microsoft.com/office/drawing/2014/main" id="{D8AAB79E-1EB6-E801-9AFD-069F9C6FF7EB}"/>
            </a:ext>
          </a:extLst>
        </xdr:cNvPr>
        <xdr:cNvSpPr txBox="1"/>
      </xdr:nvSpPr>
      <xdr:spPr>
        <a:xfrm>
          <a:off x="4819650" y="348615"/>
          <a:ext cx="826770" cy="165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i="0" u="none" strike="noStrike">
              <a:solidFill>
                <a:schemeClr val="dk1"/>
              </a:solidFill>
              <a:effectLst/>
              <a:latin typeface="+mn-lt"/>
              <a:ea typeface="+mn-ea"/>
              <a:cs typeface="+mn-cs"/>
            </a:rPr>
            <a:t>98.26</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11</xdr:col>
      <xdr:colOff>64770</xdr:colOff>
      <xdr:row>0</xdr:row>
      <xdr:rowOff>78104</xdr:rowOff>
    </xdr:from>
    <xdr:to>
      <xdr:col>12</xdr:col>
      <xdr:colOff>569685</xdr:colOff>
      <xdr:row>2</xdr:row>
      <xdr:rowOff>178229</xdr:rowOff>
    </xdr:to>
    <xdr:sp macro="" textlink="">
      <xdr:nvSpPr>
        <xdr:cNvPr id="19" name="Rectangle: Rounded Corners 18">
          <a:extLst>
            <a:ext uri="{FF2B5EF4-FFF2-40B4-BE49-F238E27FC236}">
              <a16:creationId xmlns:a16="http://schemas.microsoft.com/office/drawing/2014/main" id="{1C5CAA22-41BB-4DAA-B338-4F3049B14818}"/>
            </a:ext>
          </a:extLst>
        </xdr:cNvPr>
        <xdr:cNvSpPr/>
      </xdr:nvSpPr>
      <xdr:spPr>
        <a:xfrm>
          <a:off x="7094220" y="78104"/>
          <a:ext cx="1114515" cy="462075"/>
        </a:xfrm>
        <a:prstGeom prst="roundRect">
          <a:avLst/>
        </a:prstGeom>
        <a:solidFill>
          <a:schemeClr val="accent5"/>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11</xdr:col>
      <xdr:colOff>358140</xdr:colOff>
      <xdr:row>0</xdr:row>
      <xdr:rowOff>92392</xdr:rowOff>
    </xdr:from>
    <xdr:to>
      <xdr:col>12</xdr:col>
      <xdr:colOff>323850</xdr:colOff>
      <xdr:row>1</xdr:row>
      <xdr:rowOff>133350</xdr:rowOff>
    </xdr:to>
    <xdr:sp macro="" textlink="">
      <xdr:nvSpPr>
        <xdr:cNvPr id="20" name="TextBox 19">
          <a:extLst>
            <a:ext uri="{FF2B5EF4-FFF2-40B4-BE49-F238E27FC236}">
              <a16:creationId xmlns:a16="http://schemas.microsoft.com/office/drawing/2014/main" id="{E87FF523-D871-7F1E-FA7D-9B99A2B109A8}"/>
            </a:ext>
          </a:extLst>
        </xdr:cNvPr>
        <xdr:cNvSpPr txBox="1"/>
      </xdr:nvSpPr>
      <xdr:spPr>
        <a:xfrm>
          <a:off x="7387590" y="92392"/>
          <a:ext cx="575310" cy="221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a:t>Active</a:t>
          </a:r>
        </a:p>
      </xdr:txBody>
    </xdr:sp>
    <xdr:clientData/>
  </xdr:twoCellAnchor>
  <xdr:twoCellAnchor>
    <xdr:from>
      <xdr:col>11</xdr:col>
      <xdr:colOff>306704</xdr:colOff>
      <xdr:row>1</xdr:row>
      <xdr:rowOff>104775</xdr:rowOff>
    </xdr:from>
    <xdr:to>
      <xdr:col>12</xdr:col>
      <xdr:colOff>415290</xdr:colOff>
      <xdr:row>2</xdr:row>
      <xdr:rowOff>123825</xdr:rowOff>
    </xdr:to>
    <xdr:sp macro="" textlink="">
      <xdr:nvSpPr>
        <xdr:cNvPr id="21" name="TextBox 20">
          <a:extLst>
            <a:ext uri="{FF2B5EF4-FFF2-40B4-BE49-F238E27FC236}">
              <a16:creationId xmlns:a16="http://schemas.microsoft.com/office/drawing/2014/main" id="{6A72696E-2AB1-7AC1-3CAB-02D5824C79F7}"/>
            </a:ext>
          </a:extLst>
        </xdr:cNvPr>
        <xdr:cNvSpPr txBox="1"/>
      </xdr:nvSpPr>
      <xdr:spPr>
        <a:xfrm>
          <a:off x="7336154" y="285750"/>
          <a:ext cx="718186"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0.39</a:t>
          </a:r>
          <a:r>
            <a:rPr lang="en-IN" sz="1100" b="0" i="0" u="none" strike="noStrike">
              <a:solidFill>
                <a:schemeClr val="dk1"/>
              </a:solidFill>
              <a:effectLst/>
              <a:latin typeface="+mn-lt"/>
              <a:ea typeface="+mn-ea"/>
              <a:cs typeface="+mn-cs"/>
            </a:rPr>
            <a:t>%</a:t>
          </a:r>
          <a:r>
            <a:rPr lang="en-IN">
              <a:effectLst/>
            </a:rPr>
            <a:t> </a:t>
          </a:r>
          <a:endParaRPr lang="en-IN" sz="1100"/>
        </a:p>
      </xdr:txBody>
    </xdr:sp>
    <xdr:clientData/>
  </xdr:twoCellAnchor>
  <xdr:twoCellAnchor>
    <xdr:from>
      <xdr:col>0</xdr:col>
      <xdr:colOff>133349</xdr:colOff>
      <xdr:row>3</xdr:row>
      <xdr:rowOff>75247</xdr:rowOff>
    </xdr:from>
    <xdr:to>
      <xdr:col>12</xdr:col>
      <xdr:colOff>542924</xdr:colOff>
      <xdr:row>3</xdr:row>
      <xdr:rowOff>161925</xdr:rowOff>
    </xdr:to>
    <xdr:sp macro="" textlink="">
      <xdr:nvSpPr>
        <xdr:cNvPr id="23" name="TextBox 22">
          <a:extLst>
            <a:ext uri="{FF2B5EF4-FFF2-40B4-BE49-F238E27FC236}">
              <a16:creationId xmlns:a16="http://schemas.microsoft.com/office/drawing/2014/main" id="{BF7FB992-A7E0-09C8-FD13-177E78C04F30}"/>
            </a:ext>
          </a:extLst>
        </xdr:cNvPr>
        <xdr:cNvSpPr txBox="1"/>
      </xdr:nvSpPr>
      <xdr:spPr>
        <a:xfrm>
          <a:off x="133349" y="618172"/>
          <a:ext cx="8048625" cy="86678"/>
        </a:xfrm>
        <a:prstGeom prst="rect">
          <a:avLst/>
        </a:prstGeom>
        <a:solidFill>
          <a:schemeClr val="tx2">
            <a:lumMod val="60000"/>
            <a:lumOff val="4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3809</xdr:colOff>
      <xdr:row>8</xdr:row>
      <xdr:rowOff>0</xdr:rowOff>
    </xdr:from>
    <xdr:to>
      <xdr:col>10</xdr:col>
      <xdr:colOff>409575</xdr:colOff>
      <xdr:row>19</xdr:row>
      <xdr:rowOff>62865</xdr:rowOff>
    </xdr:to>
    <xdr:graphicFrame macro="">
      <xdr:nvGraphicFramePr>
        <xdr:cNvPr id="26" name="Chart 25">
          <a:extLst>
            <a:ext uri="{FF2B5EF4-FFF2-40B4-BE49-F238E27FC236}">
              <a16:creationId xmlns:a16="http://schemas.microsoft.com/office/drawing/2014/main" id="{F0D75188-77CE-4B29-B516-8F7B22EB5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3808</xdr:colOff>
      <xdr:row>4</xdr:row>
      <xdr:rowOff>0</xdr:rowOff>
    </xdr:from>
    <xdr:to>
      <xdr:col>10</xdr:col>
      <xdr:colOff>409575</xdr:colOff>
      <xdr:row>7</xdr:row>
      <xdr:rowOff>135255</xdr:rowOff>
    </xdr:to>
    <mc:AlternateContent xmlns:mc="http://schemas.openxmlformats.org/markup-compatibility/2006">
      <mc:Choice xmlns:a14="http://schemas.microsoft.com/office/drawing/2010/main" Requires="a14">
        <xdr:graphicFrame macro="">
          <xdr:nvGraphicFramePr>
            <xdr:cNvPr id="28" name="Discharge Avg 3">
              <a:extLst>
                <a:ext uri="{FF2B5EF4-FFF2-40B4-BE49-F238E27FC236}">
                  <a16:creationId xmlns:a16="http://schemas.microsoft.com/office/drawing/2014/main" id="{17730135-EA55-4E1A-89BA-0A43EA01A0DA}"/>
                </a:ext>
              </a:extLst>
            </xdr:cNvPr>
            <xdr:cNvGraphicFramePr/>
          </xdr:nvGraphicFramePr>
          <xdr:xfrm>
            <a:off x="0" y="0"/>
            <a:ext cx="0" cy="0"/>
          </xdr:xfrm>
          <a:graphic>
            <a:graphicData uri="http://schemas.microsoft.com/office/drawing/2010/slicer">
              <sle:slicer xmlns:sle="http://schemas.microsoft.com/office/drawing/2010/slicer" name="Discharge Avg 3"/>
            </a:graphicData>
          </a:graphic>
        </xdr:graphicFrame>
      </mc:Choice>
      <mc:Fallback>
        <xdr:sp macro="" textlink="">
          <xdr:nvSpPr>
            <xdr:cNvPr id="0" name=""/>
            <xdr:cNvSpPr>
              <a:spLocks noTextEdit="1"/>
            </xdr:cNvSpPr>
          </xdr:nvSpPr>
          <xdr:spPr>
            <a:xfrm>
              <a:off x="4408168" y="731520"/>
              <a:ext cx="4391027" cy="683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3809</xdr:colOff>
      <xdr:row>19</xdr:row>
      <xdr:rowOff>95250</xdr:rowOff>
    </xdr:from>
    <xdr:to>
      <xdr:col>10</xdr:col>
      <xdr:colOff>419100</xdr:colOff>
      <xdr:row>22</xdr:row>
      <xdr:rowOff>165734</xdr:rowOff>
    </xdr:to>
    <mc:AlternateContent xmlns:mc="http://schemas.openxmlformats.org/markup-compatibility/2006">
      <mc:Choice xmlns:a14="http://schemas.microsoft.com/office/drawing/2010/main" Requires="a14">
        <xdr:graphicFrame macro="">
          <xdr:nvGraphicFramePr>
            <xdr:cNvPr id="29" name="Discharge Avg 1">
              <a:extLst>
                <a:ext uri="{FF2B5EF4-FFF2-40B4-BE49-F238E27FC236}">
                  <a16:creationId xmlns:a16="http://schemas.microsoft.com/office/drawing/2014/main" id="{0784C0D0-D4D4-4D99-B688-3F68905EEA42}"/>
                </a:ext>
              </a:extLst>
            </xdr:cNvPr>
            <xdr:cNvGraphicFramePr/>
          </xdr:nvGraphicFramePr>
          <xdr:xfrm>
            <a:off x="0" y="0"/>
            <a:ext cx="0" cy="0"/>
          </xdr:xfrm>
          <a:graphic>
            <a:graphicData uri="http://schemas.microsoft.com/office/drawing/2010/slicer">
              <sle:slicer xmlns:sle="http://schemas.microsoft.com/office/drawing/2010/slicer" name="Discharge Avg 1"/>
            </a:graphicData>
          </a:graphic>
        </xdr:graphicFrame>
      </mc:Choice>
      <mc:Fallback>
        <xdr:sp macro="" textlink="">
          <xdr:nvSpPr>
            <xdr:cNvPr id="0" name=""/>
            <xdr:cNvSpPr>
              <a:spLocks noTextEdit="1"/>
            </xdr:cNvSpPr>
          </xdr:nvSpPr>
          <xdr:spPr>
            <a:xfrm>
              <a:off x="4408169" y="3585210"/>
              <a:ext cx="4400551" cy="619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23</xdr:row>
      <xdr:rowOff>0</xdr:rowOff>
    </xdr:from>
    <xdr:to>
      <xdr:col>10</xdr:col>
      <xdr:colOff>419100</xdr:colOff>
      <xdr:row>38</xdr:row>
      <xdr:rowOff>152400</xdr:rowOff>
    </xdr:to>
    <xdr:graphicFrame macro="">
      <xdr:nvGraphicFramePr>
        <xdr:cNvPr id="30" name="Chart 29">
          <a:extLst>
            <a:ext uri="{FF2B5EF4-FFF2-40B4-BE49-F238E27FC236}">
              <a16:creationId xmlns:a16="http://schemas.microsoft.com/office/drawing/2014/main" id="{8BE81C26-E388-411D-B9C0-37A0F896B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342900</xdr:colOff>
      <xdr:row>26</xdr:row>
      <xdr:rowOff>129540</xdr:rowOff>
    </xdr:from>
    <xdr:to>
      <xdr:col>21</xdr:col>
      <xdr:colOff>40005</xdr:colOff>
      <xdr:row>38</xdr:row>
      <xdr:rowOff>123825</xdr:rowOff>
    </xdr:to>
    <xdr:graphicFrame macro="">
      <xdr:nvGraphicFramePr>
        <xdr:cNvPr id="33" name="Chart 32">
          <a:extLst>
            <a:ext uri="{FF2B5EF4-FFF2-40B4-BE49-F238E27FC236}">
              <a16:creationId xmlns:a16="http://schemas.microsoft.com/office/drawing/2014/main" id="{2D7AD13D-D91F-4F36-A3A2-9A18F7B80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342901</xdr:colOff>
      <xdr:row>11</xdr:row>
      <xdr:rowOff>133350</xdr:rowOff>
    </xdr:from>
    <xdr:to>
      <xdr:col>21</xdr:col>
      <xdr:colOff>53341</xdr:colOff>
      <xdr:row>26</xdr:row>
      <xdr:rowOff>92393</xdr:rowOff>
    </xdr:to>
    <xdr:graphicFrame macro="">
      <xdr:nvGraphicFramePr>
        <xdr:cNvPr id="34" name="Chart 33">
          <a:extLst>
            <a:ext uri="{FF2B5EF4-FFF2-40B4-BE49-F238E27FC236}">
              <a16:creationId xmlns:a16="http://schemas.microsoft.com/office/drawing/2014/main" id="{CA13DB09-9234-48B6-A97D-37D6F81B9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314325</xdr:colOff>
      <xdr:row>3</xdr:row>
      <xdr:rowOff>171450</xdr:rowOff>
    </xdr:from>
    <xdr:to>
      <xdr:col>16</xdr:col>
      <xdr:colOff>314325</xdr:colOff>
      <xdr:row>11</xdr:row>
      <xdr:rowOff>106680</xdr:rowOff>
    </xdr:to>
    <mc:AlternateContent xmlns:mc="http://schemas.openxmlformats.org/markup-compatibility/2006">
      <mc:Choice xmlns:a14="http://schemas.microsoft.com/office/drawing/2010/main" Requires="a14">
        <xdr:graphicFrame macro="">
          <xdr:nvGraphicFramePr>
            <xdr:cNvPr id="35" name="Zone 1">
              <a:extLst>
                <a:ext uri="{FF2B5EF4-FFF2-40B4-BE49-F238E27FC236}">
                  <a16:creationId xmlns:a16="http://schemas.microsoft.com/office/drawing/2014/main" id="{E49D597D-0D57-4C1F-B0E9-61CB083666CA}"/>
                </a:ext>
              </a:extLst>
            </xdr:cNvPr>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dr:sp macro="" textlink="">
          <xdr:nvSpPr>
            <xdr:cNvPr id="0" name=""/>
            <xdr:cNvSpPr>
              <a:spLocks noTextEdit="1"/>
            </xdr:cNvSpPr>
          </xdr:nvSpPr>
          <xdr:spPr>
            <a:xfrm>
              <a:off x="10532745" y="720090"/>
              <a:ext cx="1828800" cy="1398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274320</xdr:colOff>
      <xdr:row>2</xdr:row>
      <xdr:rowOff>15239</xdr:rowOff>
    </xdr:from>
    <xdr:to>
      <xdr:col>20</xdr:col>
      <xdr:colOff>327660</xdr:colOff>
      <xdr:row>11</xdr:row>
      <xdr:rowOff>91440</xdr:rowOff>
    </xdr:to>
    <xdr:graphicFrame macro="">
      <xdr:nvGraphicFramePr>
        <xdr:cNvPr id="37" name="Chart 36">
          <a:extLst>
            <a:ext uri="{FF2B5EF4-FFF2-40B4-BE49-F238E27FC236}">
              <a16:creationId xmlns:a16="http://schemas.microsoft.com/office/drawing/2014/main" id="{24084D42-4F69-470E-BA25-F7CFD931A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426720</xdr:colOff>
      <xdr:row>4</xdr:row>
      <xdr:rowOff>0</xdr:rowOff>
    </xdr:from>
    <xdr:to>
      <xdr:col>13</xdr:col>
      <xdr:colOff>289560</xdr:colOff>
      <xdr:row>34</xdr:row>
      <xdr:rowOff>30480</xdr:rowOff>
    </xdr:to>
    <mc:AlternateContent xmlns:mc="http://schemas.openxmlformats.org/markup-compatibility/2006">
      <mc:Choice xmlns:a14="http://schemas.microsoft.com/office/drawing/2010/main" Requires="a14">
        <xdr:graphicFrame macro="">
          <xdr:nvGraphicFramePr>
            <xdr:cNvPr id="39" name="State/UTs">
              <a:extLst>
                <a:ext uri="{FF2B5EF4-FFF2-40B4-BE49-F238E27FC236}">
                  <a16:creationId xmlns:a16="http://schemas.microsoft.com/office/drawing/2014/main" id="{133936EA-5C36-0B86-1178-5C0A6B0BC1DE}"/>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dr:sp macro="" textlink="">
          <xdr:nvSpPr>
            <xdr:cNvPr id="0" name=""/>
            <xdr:cNvSpPr>
              <a:spLocks noTextEdit="1"/>
            </xdr:cNvSpPr>
          </xdr:nvSpPr>
          <xdr:spPr>
            <a:xfrm>
              <a:off x="8816340" y="731520"/>
              <a:ext cx="1691640" cy="553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188595</xdr:colOff>
      <xdr:row>2</xdr:row>
      <xdr:rowOff>84772</xdr:rowOff>
    </xdr:from>
    <xdr:to>
      <xdr:col>25</xdr:col>
      <xdr:colOff>472440</xdr:colOff>
      <xdr:row>17</xdr:row>
      <xdr:rowOff>111442</xdr:rowOff>
    </xdr:to>
    <xdr:graphicFrame macro="">
      <xdr:nvGraphicFramePr>
        <xdr:cNvPr id="4" name="Chart 3">
          <a:extLst>
            <a:ext uri="{FF2B5EF4-FFF2-40B4-BE49-F238E27FC236}">
              <a16:creationId xmlns:a16="http://schemas.microsoft.com/office/drawing/2014/main" id="{0D2D14A5-AD7B-7579-699A-7CCF63B4F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9</xdr:row>
      <xdr:rowOff>0</xdr:rowOff>
    </xdr:from>
    <xdr:to>
      <xdr:col>16</xdr:col>
      <xdr:colOff>311860</xdr:colOff>
      <xdr:row>23</xdr:row>
      <xdr:rowOff>171562</xdr:rowOff>
    </xdr:to>
    <xdr:graphicFrame macro="">
      <xdr:nvGraphicFramePr>
        <xdr:cNvPr id="4" name="Chart 3">
          <a:extLst>
            <a:ext uri="{FF2B5EF4-FFF2-40B4-BE49-F238E27FC236}">
              <a16:creationId xmlns:a16="http://schemas.microsoft.com/office/drawing/2014/main" id="{FB4329DE-F687-4C10-A2A6-47F648048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942021</xdr:colOff>
      <xdr:row>14</xdr:row>
      <xdr:rowOff>180022</xdr:rowOff>
    </xdr:from>
    <xdr:to>
      <xdr:col>11</xdr:col>
      <xdr:colOff>38099</xdr:colOff>
      <xdr:row>31</xdr:row>
      <xdr:rowOff>118110</xdr:rowOff>
    </xdr:to>
    <xdr:graphicFrame macro="">
      <xdr:nvGraphicFramePr>
        <xdr:cNvPr id="3" name="Chart 2">
          <a:extLst>
            <a:ext uri="{FF2B5EF4-FFF2-40B4-BE49-F238E27FC236}">
              <a16:creationId xmlns:a16="http://schemas.microsoft.com/office/drawing/2014/main" id="{455B9732-3683-373C-976C-317720E33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130492</xdr:colOff>
      <xdr:row>2</xdr:row>
      <xdr:rowOff>16192</xdr:rowOff>
    </xdr:from>
    <xdr:to>
      <xdr:col>10</xdr:col>
      <xdr:colOff>320992</xdr:colOff>
      <xdr:row>17</xdr:row>
      <xdr:rowOff>37147</xdr:rowOff>
    </xdr:to>
    <xdr:graphicFrame macro="">
      <xdr:nvGraphicFramePr>
        <xdr:cNvPr id="2" name="Chart 1">
          <a:extLst>
            <a:ext uri="{FF2B5EF4-FFF2-40B4-BE49-F238E27FC236}">
              <a16:creationId xmlns:a16="http://schemas.microsoft.com/office/drawing/2014/main" id="{A1B4DE9C-DEAE-DA3F-5FD7-44437FB3C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400050</xdr:colOff>
      <xdr:row>19</xdr:row>
      <xdr:rowOff>129540</xdr:rowOff>
    </xdr:from>
    <xdr:to>
      <xdr:col>11</xdr:col>
      <xdr:colOff>400050</xdr:colOff>
      <xdr:row>27</xdr:row>
      <xdr:rowOff>64770</xdr:rowOff>
    </xdr:to>
    <mc:AlternateContent xmlns:mc="http://schemas.openxmlformats.org/markup-compatibility/2006">
      <mc:Choice xmlns:a14="http://schemas.microsoft.com/office/drawing/2010/main" Requires="a14">
        <xdr:graphicFrame macro="">
          <xdr:nvGraphicFramePr>
            <xdr:cNvPr id="3" name="Zone">
              <a:extLst>
                <a:ext uri="{FF2B5EF4-FFF2-40B4-BE49-F238E27FC236}">
                  <a16:creationId xmlns:a16="http://schemas.microsoft.com/office/drawing/2014/main" id="{963FF33D-93B8-505B-9569-882002642155}"/>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7296150" y="3604260"/>
              <a:ext cx="1828800" cy="1398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0</xdr:row>
      <xdr:rowOff>85725</xdr:rowOff>
    </xdr:from>
    <xdr:to>
      <xdr:col>11</xdr:col>
      <xdr:colOff>476250</xdr:colOff>
      <xdr:row>15</xdr:row>
      <xdr:rowOff>72390</xdr:rowOff>
    </xdr:to>
    <xdr:graphicFrame macro="">
      <xdr:nvGraphicFramePr>
        <xdr:cNvPr id="2" name="Chart 1">
          <a:extLst>
            <a:ext uri="{FF2B5EF4-FFF2-40B4-BE49-F238E27FC236}">
              <a16:creationId xmlns:a16="http://schemas.microsoft.com/office/drawing/2014/main" id="{851BC6C5-F7E7-F013-3560-7C92EB209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748665</xdr:colOff>
      <xdr:row>17</xdr:row>
      <xdr:rowOff>15240</xdr:rowOff>
    </xdr:from>
    <xdr:to>
      <xdr:col>5</xdr:col>
      <xdr:colOff>516255</xdr:colOff>
      <xdr:row>20</xdr:row>
      <xdr:rowOff>76200</xdr:rowOff>
    </xdr:to>
    <mc:AlternateContent xmlns:mc="http://schemas.openxmlformats.org/markup-compatibility/2006">
      <mc:Choice xmlns:a14="http://schemas.microsoft.com/office/drawing/2010/main" Requires="a14">
        <xdr:graphicFrame macro="">
          <xdr:nvGraphicFramePr>
            <xdr:cNvPr id="4" name="Discharge Avg">
              <a:extLst>
                <a:ext uri="{FF2B5EF4-FFF2-40B4-BE49-F238E27FC236}">
                  <a16:creationId xmlns:a16="http://schemas.microsoft.com/office/drawing/2014/main" id="{F86E9004-736D-9E5E-7030-2038DC7371E7}"/>
                </a:ext>
              </a:extLst>
            </xdr:cNvPr>
            <xdr:cNvGraphicFramePr/>
          </xdr:nvGraphicFramePr>
          <xdr:xfrm>
            <a:off x="0" y="0"/>
            <a:ext cx="0" cy="0"/>
          </xdr:xfrm>
          <a:graphic>
            <a:graphicData uri="http://schemas.microsoft.com/office/drawing/2010/slicer">
              <sle:slicer xmlns:sle="http://schemas.microsoft.com/office/drawing/2010/slicer" name="Discharge Avg"/>
            </a:graphicData>
          </a:graphic>
        </xdr:graphicFrame>
      </mc:Choice>
      <mc:Fallback>
        <xdr:sp macro="" textlink="">
          <xdr:nvSpPr>
            <xdr:cNvPr id="0" name=""/>
            <xdr:cNvSpPr>
              <a:spLocks noTextEdit="1"/>
            </xdr:cNvSpPr>
          </xdr:nvSpPr>
          <xdr:spPr>
            <a:xfrm>
              <a:off x="3476625" y="3124200"/>
              <a:ext cx="320421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142875</xdr:colOff>
      <xdr:row>4</xdr:row>
      <xdr:rowOff>5715</xdr:rowOff>
    </xdr:from>
    <xdr:to>
      <xdr:col>12</xdr:col>
      <xdr:colOff>485775</xdr:colOff>
      <xdr:row>18</xdr:row>
      <xdr:rowOff>152400</xdr:rowOff>
    </xdr:to>
    <xdr:graphicFrame macro="">
      <xdr:nvGraphicFramePr>
        <xdr:cNvPr id="2" name="Chart 1">
          <a:extLst>
            <a:ext uri="{FF2B5EF4-FFF2-40B4-BE49-F238E27FC236}">
              <a16:creationId xmlns:a16="http://schemas.microsoft.com/office/drawing/2014/main" id="{12C34379-C564-36A7-AD99-9ECC182C8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123825</xdr:colOff>
      <xdr:row>20</xdr:row>
      <xdr:rowOff>171450</xdr:rowOff>
    </xdr:from>
    <xdr:to>
      <xdr:col>9</xdr:col>
      <xdr:colOff>396240</xdr:colOff>
      <xdr:row>24</xdr:row>
      <xdr:rowOff>114300</xdr:rowOff>
    </xdr:to>
    <mc:AlternateContent xmlns:mc="http://schemas.openxmlformats.org/markup-compatibility/2006">
      <mc:Choice xmlns:a14="http://schemas.microsoft.com/office/drawing/2010/main" Requires="a14">
        <xdr:graphicFrame macro="">
          <xdr:nvGraphicFramePr>
            <xdr:cNvPr id="4" name="Discharge Avg 2">
              <a:extLst>
                <a:ext uri="{FF2B5EF4-FFF2-40B4-BE49-F238E27FC236}">
                  <a16:creationId xmlns:a16="http://schemas.microsoft.com/office/drawing/2014/main" id="{321E29B9-DCFF-9B2E-2D62-2C5EA7270575}"/>
                </a:ext>
              </a:extLst>
            </xdr:cNvPr>
            <xdr:cNvGraphicFramePr/>
          </xdr:nvGraphicFramePr>
          <xdr:xfrm>
            <a:off x="0" y="0"/>
            <a:ext cx="0" cy="0"/>
          </xdr:xfrm>
          <a:graphic>
            <a:graphicData uri="http://schemas.microsoft.com/office/drawing/2010/slicer">
              <sle:slicer xmlns:sle="http://schemas.microsoft.com/office/drawing/2010/slicer" name="Discharge Avg 2"/>
            </a:graphicData>
          </a:graphic>
        </xdr:graphicFrame>
      </mc:Choice>
      <mc:Fallback>
        <xdr:sp macro="" textlink="">
          <xdr:nvSpPr>
            <xdr:cNvPr id="0" name=""/>
            <xdr:cNvSpPr>
              <a:spLocks noTextEdit="1"/>
            </xdr:cNvSpPr>
          </xdr:nvSpPr>
          <xdr:spPr>
            <a:xfrm>
              <a:off x="3857625" y="3829050"/>
              <a:ext cx="3320415" cy="674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nka Anand" refreshedDate="46270.908506134256" createdVersion="8" refreshedVersion="8" minRefreshableVersion="3" recordCount="37" xr:uid="{0DA0CC75-C984-40DC-B17E-D3D9AE7A89F0}">
  <cacheSource type="worksheet">
    <worksheetSource ref="A1:XFD1048576" sheet="Data"/>
  </cacheSource>
  <cacheFields count="16384">
    <cacheField name="State/UTs" numFmtId="0">
      <sharedItems containsBlank="1" count="37">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m/>
      </sharedItems>
    </cacheField>
    <cacheField name="Zone" numFmtId="0">
      <sharedItems containsBlank="1" count="5">
        <s v="South"/>
        <s v="East"/>
        <s v="North"/>
        <s v="West"/>
        <m/>
      </sharedItems>
    </cacheField>
    <cacheField name="Total Cases" numFmtId="0">
      <sharedItems containsString="0" containsBlank="1" containsNumber="1" containsInteger="1" minValue="7670" maxValue="6623344" count="37">
        <n v="7670"/>
        <n v="2069770"/>
        <n v="55216"/>
        <n v="613784"/>
        <n v="726153"/>
        <n v="65380"/>
        <n v="1006326"/>
        <n v="10682"/>
        <n v="1440388"/>
        <n v="178467"/>
        <n v="826924"/>
        <n v="771420"/>
        <n v="225712"/>
        <n v="334006"/>
        <n v="348992"/>
        <n v="2991614"/>
        <n v="5055224"/>
        <n v="21148"/>
        <n v="10365"/>
        <n v="792956"/>
        <n v="6623344"/>
        <n v="124432"/>
        <n v="84013"/>
        <n v="128604"/>
        <n v="31978"/>
        <n v="1045209"/>
        <n v="128401"/>
        <n v="602778"/>
        <n v="954503"/>
        <n v="32096"/>
        <n v="2714025"/>
        <n v="673469"/>
        <n v="84665"/>
        <n v="1710261"/>
        <n v="344014"/>
        <n v="1603318"/>
        <m/>
      </sharedItems>
    </cacheField>
    <cacheField name="Active" numFmtId="0">
      <sharedItems containsString="0" containsBlank="1" containsNumber="1" containsInteger="1" minValue="0" maxValue="69258"/>
    </cacheField>
    <cacheField name="Discharged" numFmtId="0">
      <sharedItems containsString="0" containsBlank="1" containsNumber="1" containsInteger="1" minValue="7534" maxValue="6466913"/>
    </cacheField>
    <cacheField name="Deaths" numFmtId="0">
      <sharedItems containsString="0" containsBlank="1" containsNumber="1" containsInteger="1" minValue="4" maxValue="140565"/>
    </cacheField>
    <cacheField name="Active Ratio" numFmtId="0">
      <sharedItems containsString="0" containsBlank="1" containsNumber="1" minValue="0" maxValue="4.3899999999999997"/>
    </cacheField>
    <cacheField name="Discharge Ratio" numFmtId="0">
      <sharedItems containsString="0" containsBlank="1" containsNumber="1" minValue="95.25" maxValue="99.96"/>
    </cacheField>
    <cacheField name="Discharge Avg" numFmtId="0">
      <sharedItems containsBlank="1"/>
    </cacheField>
    <cacheField name="Death Ratio" numFmtId="0">
      <sharedItems containsString="0" containsBlank="1" containsNumber="1" minValue="0.04" maxValue="2.75"/>
    </cacheField>
    <cacheField name="Death Avg" numFmtId="0">
      <sharedItems containsBlank="1" count="3">
        <s v="Above Average"/>
        <s v="Below Average"/>
        <m/>
      </sharedItems>
    </cacheField>
    <cacheField name="Population" numFmtId="0">
      <sharedItems containsString="0" containsBlank="1" containsNumber="1" containsInteger="1" minValue="66001" maxValue="231502578"/>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pivotCacheId="15466876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nka Anand" refreshedDate="46275.599305902775" createdVersion="8" refreshedVersion="8" minRefreshableVersion="3" recordCount="36" xr:uid="{A5EE0659-30B1-40A2-82BB-172DF6662950}">
  <cacheSource type="worksheet">
    <worksheetSource ref="A1:L37" sheet="Data"/>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ount="2">
        <s v="Below Average"/>
        <s v="Above Average"/>
      </sharedItems>
    </cacheField>
    <cacheField name="Death Ratio" numFmtId="0">
      <sharedItems containsSemiMixedTypes="0" containsString="0" containsNumber="1" minValue="0.04" maxValue="2.75"/>
    </cacheField>
    <cacheField name="Death Avg" numFmtId="0">
      <sharedItems count="2">
        <s v="Above Average"/>
        <s v="Below Average"/>
      </sharedItems>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85339624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nka Anand" refreshedDate="46276.519880555556" createdVersion="8" refreshedVersion="8" minRefreshableVersion="3" recordCount="36" xr:uid="{EA93DFF7-DAAE-4B20-817E-5E18C1E182F4}">
  <cacheSource type="worksheet">
    <worksheetSource ref="A1:XFD37" sheet="Data"/>
  </cacheSource>
  <cacheFields count="16384">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acheField>
    <cacheField name="Death Ratio" numFmtId="0">
      <sharedItems containsSemiMixedTypes="0" containsString="0" containsNumber="1" minValue="0.04" maxValue="2.75"/>
    </cacheField>
    <cacheField name="Death Avg" numFmtId="0">
      <sharedItems/>
    </cacheField>
    <cacheField name="Population" numFmtId="0">
      <sharedItems containsSemiMixedTypes="0" containsString="0" containsNumber="1" containsInteger="1" minValue="66001" maxValue="231502578"/>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n v="7"/>
    <n v="7534"/>
    <n v="129"/>
    <n v="0.09"/>
    <n v="98.23"/>
    <s v="Below Average"/>
    <n v="1.68"/>
    <x v="0"/>
    <n v="399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
    <x v="0"/>
    <x v="1"/>
    <n v="3128"/>
    <n v="2052230"/>
    <n v="14412"/>
    <n v="0.15"/>
    <n v="99.15"/>
    <s v="Above Average"/>
    <n v="0.7"/>
    <x v="1"/>
    <n v="9170247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
    <x v="1"/>
    <x v="2"/>
    <n v="42"/>
    <n v="54894"/>
    <n v="280"/>
    <n v="0.08"/>
    <n v="99.42"/>
    <s v="Above Average"/>
    <n v="0.51"/>
    <x v="1"/>
    <n v="171194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
    <x v="1"/>
    <x v="3"/>
    <n v="3272"/>
    <n v="604465"/>
    <n v="6047"/>
    <n v="0.53"/>
    <n v="98.48"/>
    <s v="Above Average"/>
    <n v="0.99"/>
    <x v="1"/>
    <n v="3599875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
    <x v="1"/>
    <x v="4"/>
    <n v="29"/>
    <n v="716462"/>
    <n v="9662"/>
    <n v="0"/>
    <n v="98.67"/>
    <s v="Above Average"/>
    <n v="1.33"/>
    <x v="0"/>
    <n v="12850036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
    <x v="2"/>
    <x v="5"/>
    <n v="24"/>
    <n v="64536"/>
    <n v="820"/>
    <n v="0.04"/>
    <n v="98.71"/>
    <s v="Above Average"/>
    <n v="1.25"/>
    <x v="1"/>
    <n v="115804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
    <x v="1"/>
    <x v="6"/>
    <n v="230"/>
    <n v="992508"/>
    <n v="13588"/>
    <n v="0.02"/>
    <n v="98.63"/>
    <s v="Above Average"/>
    <n v="1.35"/>
    <x v="0"/>
    <n v="3219972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
    <x v="3"/>
    <x v="7"/>
    <n v="0"/>
    <n v="10678"/>
    <n v="4"/>
    <n v="0"/>
    <n v="99.96"/>
    <s v="Above Average"/>
    <n v="0.04"/>
    <x v="1"/>
    <n v="77399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
    <x v="2"/>
    <x v="8"/>
    <n v="361"/>
    <n v="1414934"/>
    <n v="25093"/>
    <n v="0.03"/>
    <n v="98.23"/>
    <s v="Below Average"/>
    <n v="1.74"/>
    <x v="0"/>
    <n v="1930109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
    <x v="3"/>
    <x v="9"/>
    <n v="263"/>
    <n v="174830"/>
    <n v="3374"/>
    <n v="0.15"/>
    <n v="97.96"/>
    <s v="Below Average"/>
    <n v="1.89"/>
    <x v="0"/>
    <n v="152199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
    <x v="3"/>
    <x v="10"/>
    <n v="226"/>
    <n v="816608"/>
    <n v="10090"/>
    <n v="0.03"/>
    <n v="98.75"/>
    <s v="Above Average"/>
    <n v="1.22"/>
    <x v="1"/>
    <n v="7040015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1"/>
    <x v="2"/>
    <x v="11"/>
    <n v="140"/>
    <n v="761230"/>
    <n v="10050"/>
    <n v="0.02"/>
    <n v="98.68"/>
    <s v="Above Average"/>
    <n v="1.3"/>
    <x v="0"/>
    <n v="2890066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2"/>
    <x v="2"/>
    <x v="12"/>
    <n v="1100"/>
    <n v="220800"/>
    <n v="3812"/>
    <n v="0.49"/>
    <n v="97.82"/>
    <s v="Below Average"/>
    <n v="1.69"/>
    <x v="0"/>
    <n v="750301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3"/>
    <x v="2"/>
    <x v="13"/>
    <n v="1450"/>
    <n v="328108"/>
    <n v="4448"/>
    <n v="0.43"/>
    <n v="98.23"/>
    <s v="Below Average"/>
    <n v="1.33"/>
    <x v="0"/>
    <n v="1499939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4"/>
    <x v="1"/>
    <x v="14"/>
    <n v="141"/>
    <n v="343713"/>
    <n v="5138"/>
    <n v="0.04"/>
    <n v="98.49"/>
    <s v="Above Average"/>
    <n v="1.47"/>
    <x v="0"/>
    <n v="4010037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5"/>
    <x v="0"/>
    <x v="15"/>
    <n v="8056"/>
    <n v="2945415"/>
    <n v="38143"/>
    <n v="0.27"/>
    <n v="98.46"/>
    <s v="Above Average"/>
    <n v="1.27"/>
    <x v="1"/>
    <n v="6959976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6"/>
    <x v="0"/>
    <x v="16"/>
    <n v="69258"/>
    <n v="4950281"/>
    <n v="35685"/>
    <n v="1.37"/>
    <n v="97.92"/>
    <s v="Below Average"/>
    <n v="0.71"/>
    <x v="1"/>
    <n v="3469887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7"/>
    <x v="2"/>
    <x v="17"/>
    <n v="154"/>
    <n v="20783"/>
    <n v="211"/>
    <n v="0.73"/>
    <n v="98.27"/>
    <s v="Below Average"/>
    <n v="1"/>
    <x v="1"/>
    <n v="29049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8"/>
    <x v="0"/>
    <x v="18"/>
    <n v="0"/>
    <n v="10314"/>
    <n v="51"/>
    <n v="0"/>
    <n v="99.51"/>
    <s v="Above Average"/>
    <n v="0.49"/>
    <x v="1"/>
    <n v="66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9"/>
    <x v="3"/>
    <x v="19"/>
    <n v="75"/>
    <n v="782357"/>
    <n v="10524"/>
    <n v="0.01"/>
    <n v="98.66"/>
    <s v="Above Average"/>
    <n v="1.33"/>
    <x v="0"/>
    <n v="8500241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0"/>
    <x v="3"/>
    <x v="20"/>
    <n v="15866"/>
    <n v="6466913"/>
    <n v="140565"/>
    <n v="0.24"/>
    <n v="97.64"/>
    <s v="Below Average"/>
    <n v="2.12"/>
    <x v="0"/>
    <n v="12490407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1"/>
    <x v="1"/>
    <x v="21"/>
    <n v="799"/>
    <n v="121687"/>
    <n v="1946"/>
    <n v="0.64"/>
    <n v="97.79"/>
    <s v="Below Average"/>
    <n v="1.56"/>
    <x v="0"/>
    <n v="343694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2"/>
    <x v="1"/>
    <x v="22"/>
    <n v="277"/>
    <n v="82274"/>
    <n v="1462"/>
    <n v="0.33"/>
    <n v="97.93"/>
    <s v="Below Average"/>
    <n v="1.74"/>
    <x v="0"/>
    <n v="377210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3"/>
    <x v="1"/>
    <x v="23"/>
    <n v="5651"/>
    <n v="122494"/>
    <n v="459"/>
    <n v="4.3899999999999997"/>
    <n v="95.25"/>
    <s v="Below Average"/>
    <n v="0.36"/>
    <x v="1"/>
    <n v="130896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4"/>
    <x v="1"/>
    <x v="24"/>
    <n v="163"/>
    <n v="31123"/>
    <n v="692"/>
    <n v="0.51"/>
    <n v="97.33"/>
    <s v="Below Average"/>
    <n v="2.16"/>
    <x v="0"/>
    <n v="207307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5"/>
    <x v="1"/>
    <x v="25"/>
    <n v="2534"/>
    <n v="1034300"/>
    <n v="8375"/>
    <n v="0.24"/>
    <n v="98.96"/>
    <s v="Above Average"/>
    <n v="0.8"/>
    <x v="1"/>
    <n v="4709927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6"/>
    <x v="0"/>
    <x v="26"/>
    <n v="275"/>
    <n v="126263"/>
    <n v="1863"/>
    <n v="0.21"/>
    <n v="98.33"/>
    <s v="Below Average"/>
    <n v="1.45"/>
    <x v="0"/>
    <n v="164605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7"/>
    <x v="2"/>
    <x v="27"/>
    <n v="318"/>
    <n v="585889"/>
    <n v="16571"/>
    <n v="0.05"/>
    <n v="97.2"/>
    <s v="Below Average"/>
    <n v="2.75"/>
    <x v="0"/>
    <n v="3050102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8"/>
    <x v="3"/>
    <x v="28"/>
    <n v="71"/>
    <n v="945478"/>
    <n v="8954"/>
    <n v="0.01"/>
    <n v="99.05"/>
    <s v="Above Average"/>
    <n v="0.94"/>
    <x v="1"/>
    <n v="7950247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9"/>
    <x v="1"/>
    <x v="29"/>
    <n v="121"/>
    <n v="31575"/>
    <n v="400"/>
    <n v="0.38"/>
    <n v="98.38"/>
    <s v="Above Average"/>
    <n v="1.25"/>
    <x v="1"/>
    <n v="65801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0"/>
    <x v="0"/>
    <x v="30"/>
    <n v="9751"/>
    <n v="2668001"/>
    <n v="36273"/>
    <n v="0.36"/>
    <n v="98.3"/>
    <s v="Below Average"/>
    <n v="1.34"/>
    <x v="0"/>
    <n v="8369777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1"/>
    <x v="0"/>
    <x v="31"/>
    <n v="3741"/>
    <n v="665755"/>
    <n v="3973"/>
    <n v="0.56000000000000005"/>
    <n v="98.85"/>
    <s v="Above Average"/>
    <n v="0.59"/>
    <x v="1"/>
    <n v="3815731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2"/>
    <x v="1"/>
    <x v="32"/>
    <n v="116"/>
    <n v="83732"/>
    <n v="817"/>
    <n v="0.14000000000000001"/>
    <n v="98.9"/>
    <s v="Above Average"/>
    <n v="0.96"/>
    <x v="1"/>
    <n v="418495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3"/>
    <x v="2"/>
    <x v="33"/>
    <n v="90"/>
    <n v="1687262"/>
    <n v="22909"/>
    <n v="0.01"/>
    <n v="98.66"/>
    <s v="Above Average"/>
    <n v="1.34"/>
    <x v="0"/>
    <n v="23150257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4"/>
    <x v="2"/>
    <x v="34"/>
    <n v="158"/>
    <n v="336453"/>
    <n v="7403"/>
    <n v="0.05"/>
    <n v="97.8"/>
    <s v="Below Average"/>
    <n v="2.15"/>
    <x v="0"/>
    <n v="117000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5"/>
    <x v="1"/>
    <x v="35"/>
    <n v="8031"/>
    <n v="1575980"/>
    <n v="19307"/>
    <n v="0.5"/>
    <n v="98.29"/>
    <s v="Below Average"/>
    <n v="1.2"/>
    <x v="1"/>
    <n v="10089661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6"/>
    <x v="4"/>
    <x v="36"/>
    <m/>
    <m/>
    <m/>
    <m/>
    <m/>
    <m/>
    <m/>
    <x v="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7670"/>
    <n v="7"/>
    <n v="7534"/>
    <n v="129"/>
    <n v="0.09"/>
    <n v="98.23"/>
    <x v="0"/>
    <n v="1.68"/>
    <x v="0"/>
    <n v="399001"/>
  </r>
  <r>
    <x v="1"/>
    <x v="0"/>
    <n v="2069770"/>
    <n v="3128"/>
    <n v="2052230"/>
    <n v="14412"/>
    <n v="0.15"/>
    <n v="99.15"/>
    <x v="1"/>
    <n v="0.7"/>
    <x v="1"/>
    <n v="91702478"/>
  </r>
  <r>
    <x v="2"/>
    <x v="1"/>
    <n v="55216"/>
    <n v="42"/>
    <n v="54894"/>
    <n v="280"/>
    <n v="0.08"/>
    <n v="99.42"/>
    <x v="1"/>
    <n v="0.51"/>
    <x v="1"/>
    <n v="1711947"/>
  </r>
  <r>
    <x v="3"/>
    <x v="1"/>
    <n v="613784"/>
    <n v="3272"/>
    <n v="604465"/>
    <n v="6047"/>
    <n v="0.53"/>
    <n v="98.48"/>
    <x v="1"/>
    <n v="0.99"/>
    <x v="1"/>
    <n v="35998752"/>
  </r>
  <r>
    <x v="4"/>
    <x v="1"/>
    <n v="726153"/>
    <n v="29"/>
    <n v="716462"/>
    <n v="9662"/>
    <n v="0"/>
    <n v="98.67"/>
    <x v="1"/>
    <n v="1.33"/>
    <x v="0"/>
    <n v="128500364"/>
  </r>
  <r>
    <x v="5"/>
    <x v="2"/>
    <n v="65380"/>
    <n v="24"/>
    <n v="64536"/>
    <n v="820"/>
    <n v="0.04"/>
    <n v="98.71"/>
    <x v="1"/>
    <n v="1.25"/>
    <x v="1"/>
    <n v="1158040"/>
  </r>
  <r>
    <x v="6"/>
    <x v="1"/>
    <n v="1006326"/>
    <n v="230"/>
    <n v="992508"/>
    <n v="13588"/>
    <n v="0.02"/>
    <n v="98.63"/>
    <x v="1"/>
    <n v="1.35"/>
    <x v="0"/>
    <n v="32199722"/>
  </r>
  <r>
    <x v="7"/>
    <x v="3"/>
    <n v="10682"/>
    <n v="0"/>
    <n v="10678"/>
    <n v="4"/>
    <n v="0"/>
    <n v="99.96"/>
    <x v="1"/>
    <n v="0.04"/>
    <x v="1"/>
    <n v="773997"/>
  </r>
  <r>
    <x v="8"/>
    <x v="2"/>
    <n v="1440388"/>
    <n v="361"/>
    <n v="1414934"/>
    <n v="25093"/>
    <n v="0.03"/>
    <n v="98.23"/>
    <x v="0"/>
    <n v="1.74"/>
    <x v="0"/>
    <n v="19301096"/>
  </r>
  <r>
    <x v="9"/>
    <x v="3"/>
    <n v="178467"/>
    <n v="263"/>
    <n v="174830"/>
    <n v="3374"/>
    <n v="0.15"/>
    <n v="97.96"/>
    <x v="0"/>
    <n v="1.89"/>
    <x v="0"/>
    <n v="1521992"/>
  </r>
  <r>
    <x v="10"/>
    <x v="3"/>
    <n v="826924"/>
    <n v="226"/>
    <n v="816608"/>
    <n v="10090"/>
    <n v="0.03"/>
    <n v="98.75"/>
    <x v="1"/>
    <n v="1.22"/>
    <x v="1"/>
    <n v="70400153"/>
  </r>
  <r>
    <x v="11"/>
    <x v="2"/>
    <n v="771420"/>
    <n v="140"/>
    <n v="761230"/>
    <n v="10050"/>
    <n v="0.02"/>
    <n v="98.68"/>
    <x v="1"/>
    <n v="1.3"/>
    <x v="0"/>
    <n v="28900667"/>
  </r>
  <r>
    <x v="12"/>
    <x v="2"/>
    <n v="225712"/>
    <n v="1100"/>
    <n v="220800"/>
    <n v="3812"/>
    <n v="0.49"/>
    <n v="97.82"/>
    <x v="0"/>
    <n v="1.69"/>
    <x v="0"/>
    <n v="7503010"/>
  </r>
  <r>
    <x v="13"/>
    <x v="2"/>
    <n v="334006"/>
    <n v="1450"/>
    <n v="328108"/>
    <n v="4448"/>
    <n v="0.43"/>
    <n v="98.23"/>
    <x v="0"/>
    <n v="1.33"/>
    <x v="0"/>
    <n v="14999397"/>
  </r>
  <r>
    <x v="14"/>
    <x v="1"/>
    <n v="348992"/>
    <n v="141"/>
    <n v="343713"/>
    <n v="5138"/>
    <n v="0.04"/>
    <n v="98.49"/>
    <x v="1"/>
    <n v="1.47"/>
    <x v="0"/>
    <n v="40100376"/>
  </r>
  <r>
    <x v="15"/>
    <x v="0"/>
    <n v="2991614"/>
    <n v="8056"/>
    <n v="2945415"/>
    <n v="38143"/>
    <n v="0.27"/>
    <n v="98.46"/>
    <x v="1"/>
    <n v="1.27"/>
    <x v="1"/>
    <n v="69599762"/>
  </r>
  <r>
    <x v="16"/>
    <x v="0"/>
    <n v="5055224"/>
    <n v="69258"/>
    <n v="4950281"/>
    <n v="35685"/>
    <n v="1.37"/>
    <n v="97.92"/>
    <x v="0"/>
    <n v="0.71"/>
    <x v="1"/>
    <n v="34698876"/>
  </r>
  <r>
    <x v="17"/>
    <x v="2"/>
    <n v="21148"/>
    <n v="154"/>
    <n v="20783"/>
    <n v="211"/>
    <n v="0.73"/>
    <n v="98.27"/>
    <x v="0"/>
    <n v="1"/>
    <x v="1"/>
    <n v="290492"/>
  </r>
  <r>
    <x v="18"/>
    <x v="0"/>
    <n v="10365"/>
    <n v="0"/>
    <n v="10314"/>
    <n v="51"/>
    <n v="0"/>
    <n v="99.51"/>
    <x v="1"/>
    <n v="0.49"/>
    <x v="1"/>
    <n v="66001"/>
  </r>
  <r>
    <x v="19"/>
    <x v="3"/>
    <n v="792956"/>
    <n v="75"/>
    <n v="782357"/>
    <n v="10524"/>
    <n v="0.01"/>
    <n v="98.66"/>
    <x v="1"/>
    <n v="1.33"/>
    <x v="0"/>
    <n v="85002417"/>
  </r>
  <r>
    <x v="20"/>
    <x v="3"/>
    <n v="6623344"/>
    <n v="15866"/>
    <n v="6466913"/>
    <n v="140565"/>
    <n v="0.24"/>
    <n v="97.64"/>
    <x v="0"/>
    <n v="2.12"/>
    <x v="0"/>
    <n v="124904071"/>
  </r>
  <r>
    <x v="21"/>
    <x v="1"/>
    <n v="124432"/>
    <n v="799"/>
    <n v="121687"/>
    <n v="1946"/>
    <n v="0.64"/>
    <n v="97.79"/>
    <x v="0"/>
    <n v="1.56"/>
    <x v="0"/>
    <n v="3436948"/>
  </r>
  <r>
    <x v="22"/>
    <x v="1"/>
    <n v="84013"/>
    <n v="277"/>
    <n v="82274"/>
    <n v="1462"/>
    <n v="0.33"/>
    <n v="97.93"/>
    <x v="0"/>
    <n v="1.74"/>
    <x v="0"/>
    <n v="3772103"/>
  </r>
  <r>
    <x v="23"/>
    <x v="1"/>
    <n v="128604"/>
    <n v="5651"/>
    <n v="122494"/>
    <n v="459"/>
    <n v="4.3899999999999997"/>
    <n v="95.25"/>
    <x v="0"/>
    <n v="0.36"/>
    <x v="1"/>
    <n v="1308967"/>
  </r>
  <r>
    <x v="24"/>
    <x v="1"/>
    <n v="31978"/>
    <n v="163"/>
    <n v="31123"/>
    <n v="692"/>
    <n v="0.51"/>
    <n v="97.33"/>
    <x v="0"/>
    <n v="2.16"/>
    <x v="0"/>
    <n v="2073074"/>
  </r>
  <r>
    <x v="25"/>
    <x v="1"/>
    <n v="1045209"/>
    <n v="2534"/>
    <n v="1034300"/>
    <n v="8375"/>
    <n v="0.24"/>
    <n v="98.96"/>
    <x v="1"/>
    <n v="0.8"/>
    <x v="1"/>
    <n v="47099270"/>
  </r>
  <r>
    <x v="26"/>
    <x v="0"/>
    <n v="128401"/>
    <n v="275"/>
    <n v="126263"/>
    <n v="1863"/>
    <n v="0.21"/>
    <n v="98.33"/>
    <x v="0"/>
    <n v="1.45"/>
    <x v="0"/>
    <n v="1646050"/>
  </r>
  <r>
    <x v="27"/>
    <x v="2"/>
    <n v="602778"/>
    <n v="318"/>
    <n v="585889"/>
    <n v="16571"/>
    <n v="0.05"/>
    <n v="97.2"/>
    <x v="0"/>
    <n v="2.75"/>
    <x v="0"/>
    <n v="30501026"/>
  </r>
  <r>
    <x v="28"/>
    <x v="3"/>
    <n v="954503"/>
    <n v="71"/>
    <n v="945478"/>
    <n v="8954"/>
    <n v="0.01"/>
    <n v="99.05"/>
    <x v="1"/>
    <n v="0.94"/>
    <x v="1"/>
    <n v="79502477"/>
  </r>
  <r>
    <x v="29"/>
    <x v="1"/>
    <n v="32096"/>
    <n v="121"/>
    <n v="31575"/>
    <n v="400"/>
    <n v="0.38"/>
    <n v="98.38"/>
    <x v="1"/>
    <n v="1.25"/>
    <x v="1"/>
    <n v="658019"/>
  </r>
  <r>
    <x v="30"/>
    <x v="0"/>
    <n v="2714025"/>
    <n v="9751"/>
    <n v="2668001"/>
    <n v="36273"/>
    <n v="0.36"/>
    <n v="98.3"/>
    <x v="0"/>
    <n v="1.34"/>
    <x v="0"/>
    <n v="83697770"/>
  </r>
  <r>
    <x v="31"/>
    <x v="0"/>
    <n v="673469"/>
    <n v="3741"/>
    <n v="665755"/>
    <n v="3973"/>
    <n v="0.56000000000000005"/>
    <n v="98.85"/>
    <x v="1"/>
    <n v="0.59"/>
    <x v="1"/>
    <n v="38157311"/>
  </r>
  <r>
    <x v="32"/>
    <x v="1"/>
    <n v="84665"/>
    <n v="116"/>
    <n v="83732"/>
    <n v="817"/>
    <n v="0.14000000000000001"/>
    <n v="98.9"/>
    <x v="1"/>
    <n v="0.96"/>
    <x v="1"/>
    <n v="4184959"/>
  </r>
  <r>
    <x v="33"/>
    <x v="2"/>
    <n v="1710261"/>
    <n v="90"/>
    <n v="1687262"/>
    <n v="22909"/>
    <n v="0.01"/>
    <n v="98.66"/>
    <x v="1"/>
    <n v="1.34"/>
    <x v="0"/>
    <n v="231502578"/>
  </r>
  <r>
    <x v="34"/>
    <x v="2"/>
    <n v="344014"/>
    <n v="158"/>
    <n v="336453"/>
    <n v="7403"/>
    <n v="0.05"/>
    <n v="97.8"/>
    <x v="0"/>
    <n v="2.15"/>
    <x v="0"/>
    <n v="11700099"/>
  </r>
  <r>
    <x v="35"/>
    <x v="1"/>
    <n v="1603318"/>
    <n v="8031"/>
    <n v="1575980"/>
    <n v="19307"/>
    <n v="0.5"/>
    <n v="98.29"/>
    <x v="0"/>
    <n v="1.2"/>
    <x v="1"/>
    <n v="1008966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s v="South"/>
    <n v="7670"/>
    <n v="7"/>
    <n v="7534"/>
    <n v="129"/>
    <n v="0.09"/>
    <n v="98.23"/>
    <s v="Below Average"/>
    <n v="1.68"/>
    <s v="Above Average"/>
    <n v="399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
    <s v="South"/>
    <n v="2069770"/>
    <n v="3128"/>
    <n v="2052230"/>
    <n v="14412"/>
    <n v="0.15"/>
    <n v="99.15"/>
    <s v="Above Average"/>
    <n v="0.7"/>
    <s v="Below Average"/>
    <n v="9170247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
    <s v="East"/>
    <n v="55216"/>
    <n v="42"/>
    <n v="54894"/>
    <n v="280"/>
    <n v="0.08"/>
    <n v="99.42"/>
    <s v="Above Average"/>
    <n v="0.51"/>
    <s v="Below Average"/>
    <n v="171194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
    <s v="East"/>
    <n v="613784"/>
    <n v="3272"/>
    <n v="604465"/>
    <n v="6047"/>
    <n v="0.53"/>
    <n v="98.48"/>
    <s v="Above Average"/>
    <n v="0.99"/>
    <s v="Below Average"/>
    <n v="3599875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
    <s v="East"/>
    <n v="726153"/>
    <n v="29"/>
    <n v="716462"/>
    <n v="9662"/>
    <n v="0"/>
    <n v="98.67"/>
    <s v="Above Average"/>
    <n v="1.33"/>
    <s v="Above Average"/>
    <n v="12850036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
    <s v="North"/>
    <n v="65380"/>
    <n v="24"/>
    <n v="64536"/>
    <n v="820"/>
    <n v="0.04"/>
    <n v="98.71"/>
    <s v="Above Average"/>
    <n v="1.25"/>
    <s v="Below Average"/>
    <n v="115804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
    <s v="East"/>
    <n v="1006326"/>
    <n v="230"/>
    <n v="992508"/>
    <n v="13588"/>
    <n v="0.02"/>
    <n v="98.63"/>
    <s v="Above Average"/>
    <n v="1.35"/>
    <s v="Above Average"/>
    <n v="3219972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
    <s v="West"/>
    <n v="10682"/>
    <n v="0"/>
    <n v="10678"/>
    <n v="4"/>
    <n v="0"/>
    <n v="99.96"/>
    <s v="Above Average"/>
    <n v="0.04"/>
    <s v="Below Average"/>
    <n v="77399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
    <s v="North"/>
    <n v="1440388"/>
    <n v="361"/>
    <n v="1414934"/>
    <n v="25093"/>
    <n v="0.03"/>
    <n v="98.23"/>
    <s v="Below Average"/>
    <n v="1.74"/>
    <s v="Above Average"/>
    <n v="1930109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
    <s v="West"/>
    <n v="178467"/>
    <n v="263"/>
    <n v="174830"/>
    <n v="3374"/>
    <n v="0.15"/>
    <n v="97.96"/>
    <s v="Below Average"/>
    <n v="1.89"/>
    <s v="Above Average"/>
    <n v="152199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
    <s v="West"/>
    <n v="826924"/>
    <n v="226"/>
    <n v="816608"/>
    <n v="10090"/>
    <n v="0.03"/>
    <n v="98.75"/>
    <s v="Above Average"/>
    <n v="1.22"/>
    <s v="Below Average"/>
    <n v="7040015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1"/>
    <s v="North"/>
    <n v="771420"/>
    <n v="140"/>
    <n v="761230"/>
    <n v="10050"/>
    <n v="0.02"/>
    <n v="98.68"/>
    <s v="Above Average"/>
    <n v="1.3"/>
    <s v="Above Average"/>
    <n v="2890066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2"/>
    <s v="North"/>
    <n v="225712"/>
    <n v="1100"/>
    <n v="220800"/>
    <n v="3812"/>
    <n v="0.49"/>
    <n v="97.82"/>
    <s v="Below Average"/>
    <n v="1.69"/>
    <s v="Above Average"/>
    <n v="750301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3"/>
    <s v="North"/>
    <n v="334006"/>
    <n v="1450"/>
    <n v="328108"/>
    <n v="4448"/>
    <n v="0.43"/>
    <n v="98.23"/>
    <s v="Below Average"/>
    <n v="1.33"/>
    <s v="Above Average"/>
    <n v="1499939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4"/>
    <s v="East"/>
    <n v="348992"/>
    <n v="141"/>
    <n v="343713"/>
    <n v="5138"/>
    <n v="0.04"/>
    <n v="98.49"/>
    <s v="Above Average"/>
    <n v="1.47"/>
    <s v="Above Average"/>
    <n v="4010037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5"/>
    <s v="South"/>
    <n v="2991614"/>
    <n v="8056"/>
    <n v="2945415"/>
    <n v="38143"/>
    <n v="0.27"/>
    <n v="98.46"/>
    <s v="Above Average"/>
    <n v="1.27"/>
    <s v="Below Average"/>
    <n v="6959976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6"/>
    <s v="South"/>
    <n v="5055224"/>
    <n v="69258"/>
    <n v="4950281"/>
    <n v="35685"/>
    <n v="1.37"/>
    <n v="97.92"/>
    <s v="Below Average"/>
    <n v="0.71"/>
    <s v="Below Average"/>
    <n v="3469887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7"/>
    <s v="North"/>
    <n v="21148"/>
    <n v="154"/>
    <n v="20783"/>
    <n v="211"/>
    <n v="0.73"/>
    <n v="98.27"/>
    <s v="Below Average"/>
    <n v="1"/>
    <s v="Below Average"/>
    <n v="290492"/>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8"/>
    <s v="South"/>
    <n v="10365"/>
    <n v="0"/>
    <n v="10314"/>
    <n v="51"/>
    <n v="0"/>
    <n v="99.51"/>
    <s v="Above Average"/>
    <n v="0.49"/>
    <s v="Below Average"/>
    <n v="6600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9"/>
    <s v="West"/>
    <n v="792956"/>
    <n v="75"/>
    <n v="782357"/>
    <n v="10524"/>
    <n v="0.01"/>
    <n v="98.66"/>
    <s v="Above Average"/>
    <n v="1.33"/>
    <s v="Above Average"/>
    <n v="8500241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0"/>
    <s v="West"/>
    <n v="6623344"/>
    <n v="15866"/>
    <n v="6466913"/>
    <n v="140565"/>
    <n v="0.24"/>
    <n v="97.64"/>
    <s v="Below Average"/>
    <n v="2.12"/>
    <s v="Above Average"/>
    <n v="12490407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1"/>
    <s v="East"/>
    <n v="124432"/>
    <n v="799"/>
    <n v="121687"/>
    <n v="1946"/>
    <n v="0.64"/>
    <n v="97.79"/>
    <s v="Below Average"/>
    <n v="1.56"/>
    <s v="Above Average"/>
    <n v="343694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2"/>
    <s v="East"/>
    <n v="84013"/>
    <n v="277"/>
    <n v="82274"/>
    <n v="1462"/>
    <n v="0.33"/>
    <n v="97.93"/>
    <s v="Below Average"/>
    <n v="1.74"/>
    <s v="Above Average"/>
    <n v="3772103"/>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3"/>
    <s v="East"/>
    <n v="128604"/>
    <n v="5651"/>
    <n v="122494"/>
    <n v="459"/>
    <n v="4.3899999999999997"/>
    <n v="95.25"/>
    <s v="Below Average"/>
    <n v="0.36"/>
    <s v="Below Average"/>
    <n v="130896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4"/>
    <s v="East"/>
    <n v="31978"/>
    <n v="163"/>
    <n v="31123"/>
    <n v="692"/>
    <n v="0.51"/>
    <n v="97.33"/>
    <s v="Below Average"/>
    <n v="2.16"/>
    <s v="Above Average"/>
    <n v="207307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5"/>
    <s v="East"/>
    <n v="1045209"/>
    <n v="2534"/>
    <n v="1034300"/>
    <n v="8375"/>
    <n v="0.24"/>
    <n v="98.96"/>
    <s v="Above Average"/>
    <n v="0.8"/>
    <s v="Below Average"/>
    <n v="4709927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6"/>
    <s v="South"/>
    <n v="128401"/>
    <n v="275"/>
    <n v="126263"/>
    <n v="1863"/>
    <n v="0.21"/>
    <n v="98.33"/>
    <s v="Below Average"/>
    <n v="1.45"/>
    <s v="Above Average"/>
    <n v="164605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7"/>
    <s v="North"/>
    <n v="602778"/>
    <n v="318"/>
    <n v="585889"/>
    <n v="16571"/>
    <n v="0.05"/>
    <n v="97.2"/>
    <s v="Below Average"/>
    <n v="2.75"/>
    <s v="Above Average"/>
    <n v="30501026"/>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8"/>
    <s v="West"/>
    <n v="954503"/>
    <n v="71"/>
    <n v="945478"/>
    <n v="8954"/>
    <n v="0.01"/>
    <n v="99.05"/>
    <s v="Above Average"/>
    <n v="0.94"/>
    <s v="Below Average"/>
    <n v="7950247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9"/>
    <s v="East"/>
    <n v="32096"/>
    <n v="121"/>
    <n v="31575"/>
    <n v="400"/>
    <n v="0.38"/>
    <n v="98.38"/>
    <s v="Above Average"/>
    <n v="1.25"/>
    <s v="Below Average"/>
    <n v="65801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0"/>
    <s v="South"/>
    <n v="2714025"/>
    <n v="9751"/>
    <n v="2668001"/>
    <n v="36273"/>
    <n v="0.36"/>
    <n v="98.3"/>
    <s v="Below Average"/>
    <n v="1.34"/>
    <s v="Above Average"/>
    <n v="8369777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1"/>
    <s v="South"/>
    <n v="673469"/>
    <n v="3741"/>
    <n v="665755"/>
    <n v="3973"/>
    <n v="0.56000000000000005"/>
    <n v="98.85"/>
    <s v="Above Average"/>
    <n v="0.59"/>
    <s v="Below Average"/>
    <n v="38157311"/>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2"/>
    <s v="East"/>
    <n v="84665"/>
    <n v="116"/>
    <n v="83732"/>
    <n v="817"/>
    <n v="0.14000000000000001"/>
    <n v="98.9"/>
    <s v="Above Average"/>
    <n v="0.96"/>
    <s v="Below Average"/>
    <n v="418495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3"/>
    <s v="North"/>
    <n v="1710261"/>
    <n v="90"/>
    <n v="1687262"/>
    <n v="22909"/>
    <n v="0.01"/>
    <n v="98.66"/>
    <s v="Above Average"/>
    <n v="1.34"/>
    <s v="Above Average"/>
    <n v="23150257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4"/>
    <s v="North"/>
    <n v="344014"/>
    <n v="158"/>
    <n v="336453"/>
    <n v="7403"/>
    <n v="0.05"/>
    <n v="97.8"/>
    <s v="Below Average"/>
    <n v="2.15"/>
    <s v="Above Average"/>
    <n v="1170009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5"/>
    <s v="East"/>
    <n v="1603318"/>
    <n v="8031"/>
    <n v="1575980"/>
    <n v="19307"/>
    <n v="0.5"/>
    <n v="98.29"/>
    <s v="Below Average"/>
    <n v="1.2"/>
    <s v="Below Average"/>
    <n v="10089661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F832B-612F-4EFA-A4CE-4002D6BE9CB4}" name="PivotTable12"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52" firstHeaderRow="1" firstDataRow="1" firstDataCol="1"/>
  <pivotFields count="12">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s>
  <rowFields count="1">
    <field x="0"/>
  </rowFields>
  <rowItems count="37">
    <i>
      <x/>
    </i>
    <i>
      <x v="18"/>
    </i>
    <i>
      <x v="7"/>
    </i>
    <i>
      <x v="17"/>
    </i>
    <i>
      <x v="24"/>
    </i>
    <i>
      <x v="29"/>
    </i>
    <i>
      <x v="2"/>
    </i>
    <i>
      <x v="5"/>
    </i>
    <i>
      <x v="22"/>
    </i>
    <i>
      <x v="32"/>
    </i>
    <i>
      <x v="21"/>
    </i>
    <i>
      <x v="23"/>
    </i>
    <i>
      <x v="26"/>
    </i>
    <i>
      <x v="9"/>
    </i>
    <i>
      <x v="12"/>
    </i>
    <i>
      <x v="13"/>
    </i>
    <i>
      <x v="34"/>
    </i>
    <i>
      <x v="14"/>
    </i>
    <i>
      <x v="27"/>
    </i>
    <i>
      <x v="3"/>
    </i>
    <i>
      <x v="31"/>
    </i>
    <i>
      <x v="4"/>
    </i>
    <i>
      <x v="11"/>
    </i>
    <i>
      <x v="19"/>
    </i>
    <i>
      <x v="10"/>
    </i>
    <i>
      <x v="28"/>
    </i>
    <i>
      <x v="6"/>
    </i>
    <i>
      <x v="25"/>
    </i>
    <i>
      <x v="8"/>
    </i>
    <i>
      <x v="35"/>
    </i>
    <i>
      <x v="33"/>
    </i>
    <i>
      <x v="1"/>
    </i>
    <i>
      <x v="30"/>
    </i>
    <i>
      <x v="15"/>
    </i>
    <i>
      <x v="16"/>
    </i>
    <i>
      <x v="20"/>
    </i>
    <i t="grand">
      <x/>
    </i>
  </rowItems>
  <colItems count="1">
    <i/>
  </colItems>
  <dataFields count="1">
    <dataField name="Sum of Discharg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8E37E-3706-4A90-8E20-55E23A24D271}" name="PivotTable5" cacheId="6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7:J9" firstHeaderRow="1" firstDataRow="1" firstDataCol="1"/>
  <pivotFields count="16384">
    <pivotField axis="axisRow" showAll="0" sortType="descending">
      <items count="38">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Items count="1">
    <i/>
  </colItems>
  <dataFields count="1">
    <dataField name="Sum of Discharg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9BD083-77BE-471B-A6F2-B60447DAD647}" name="PivotTable1" cacheId="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5" firstHeaderRow="0" firstDataRow="1" firstDataCol="1"/>
  <pivotFields count="16384">
    <pivotField axis="axisRow" showAll="0">
      <items count="37">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Fields count="1">
    <field x="-2"/>
  </colFields>
  <colItems count="2">
    <i>
      <x/>
    </i>
    <i i="1">
      <x v="1"/>
    </i>
  </colItems>
  <dataFields count="2">
    <dataField name="Total Case" fld="2" baseField="0" baseItem="0"/>
    <dataField name=" Discharged" fld="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5FAC2D-FCC4-4E1B-8891-685CB0B44D9D}" name="PivotTable11"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C2:D39" firstHeaderRow="1" firstDataRow="1" firstDataCol="1"/>
  <pivotFields count="12">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37">
    <i>
      <x/>
    </i>
    <i>
      <x v="18"/>
    </i>
    <i>
      <x v="7"/>
    </i>
    <i>
      <x v="17"/>
    </i>
    <i>
      <x v="24"/>
    </i>
    <i>
      <x v="29"/>
    </i>
    <i>
      <x v="2"/>
    </i>
    <i>
      <x v="5"/>
    </i>
    <i>
      <x v="22"/>
    </i>
    <i>
      <x v="32"/>
    </i>
    <i>
      <x v="21"/>
    </i>
    <i>
      <x v="26"/>
    </i>
    <i>
      <x v="23"/>
    </i>
    <i>
      <x v="9"/>
    </i>
    <i>
      <x v="12"/>
    </i>
    <i>
      <x v="13"/>
    </i>
    <i>
      <x v="34"/>
    </i>
    <i>
      <x v="14"/>
    </i>
    <i>
      <x v="27"/>
    </i>
    <i>
      <x v="3"/>
    </i>
    <i>
      <x v="31"/>
    </i>
    <i>
      <x v="4"/>
    </i>
    <i>
      <x v="11"/>
    </i>
    <i>
      <x v="19"/>
    </i>
    <i>
      <x v="10"/>
    </i>
    <i>
      <x v="28"/>
    </i>
    <i>
      <x v="6"/>
    </i>
    <i>
      <x v="25"/>
    </i>
    <i>
      <x v="8"/>
    </i>
    <i>
      <x v="35"/>
    </i>
    <i>
      <x v="33"/>
    </i>
    <i>
      <x v="1"/>
    </i>
    <i>
      <x v="30"/>
    </i>
    <i>
      <x v="15"/>
    </i>
    <i>
      <x v="16"/>
    </i>
    <i>
      <x v="20"/>
    </i>
    <i t="grand">
      <x/>
    </i>
  </rowItems>
  <colItems count="1">
    <i/>
  </colItems>
  <dataFields count="1">
    <dataField name="Cas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386A1-6F41-4C21-B115-07E1EE95A5FD}" name="PivotTable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tates">
  <location ref="A2:B4" firstHeaderRow="1" firstDataRow="1" firstDataCol="1"/>
  <pivotFields count="16384">
    <pivotField axis="axisRow" showAll="0" sortType="descending">
      <items count="38">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Items count="1">
    <i/>
  </colItems>
  <dataFields count="1">
    <dataField name="Cases" fld="2" baseField="0" baseItem="20"/>
  </dataFields>
  <formats count="1">
    <format dxfId="0">
      <pivotArea grandRow="1"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F76132-02F1-412F-9A41-CAEFBFF8136B}" name="PivotTable16"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N48" firstHeaderRow="1" firstDataRow="1" firstDataCol="1"/>
  <pivotFields count="12">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37">
    <i>
      <x v="7"/>
    </i>
    <i>
      <x v="4"/>
    </i>
    <i>
      <x v="18"/>
    </i>
    <i>
      <x v="28"/>
    </i>
    <i>
      <x v="33"/>
    </i>
    <i>
      <x v="19"/>
    </i>
    <i>
      <x v="11"/>
    </i>
    <i>
      <x v="6"/>
    </i>
    <i>
      <x v="10"/>
    </i>
    <i>
      <x v="8"/>
    </i>
    <i>
      <x v="5"/>
    </i>
    <i>
      <x v="14"/>
    </i>
    <i>
      <x v="27"/>
    </i>
    <i>
      <x v="34"/>
    </i>
    <i>
      <x v="2"/>
    </i>
    <i>
      <x/>
    </i>
    <i>
      <x v="32"/>
    </i>
    <i>
      <x v="1"/>
    </i>
    <i>
      <x v="9"/>
    </i>
    <i>
      <x v="26"/>
    </i>
    <i>
      <x v="25"/>
    </i>
    <i>
      <x v="20"/>
    </i>
    <i>
      <x v="15"/>
    </i>
    <i>
      <x v="22"/>
    </i>
    <i>
      <x v="30"/>
    </i>
    <i>
      <x v="29"/>
    </i>
    <i>
      <x v="13"/>
    </i>
    <i>
      <x v="12"/>
    </i>
    <i>
      <x v="35"/>
    </i>
    <i>
      <x v="24"/>
    </i>
    <i>
      <x v="3"/>
    </i>
    <i>
      <x v="31"/>
    </i>
    <i>
      <x v="21"/>
    </i>
    <i>
      <x v="17"/>
    </i>
    <i>
      <x v="16"/>
    </i>
    <i>
      <x v="23"/>
    </i>
    <i t="grand">
      <x/>
    </i>
  </rowItems>
  <colItems count="1">
    <i/>
  </colItems>
  <dataFields count="1">
    <dataField name="Sum of Active Ratio"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095270-2479-4A68-B4B4-B5227265EB04}" name="PivotTable15"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K11:L48" firstHeaderRow="1" firstDataRow="1" firstDataCol="1"/>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0"/>
  </rowFields>
  <rowItems count="37">
    <i>
      <x v="23"/>
    </i>
    <i>
      <x v="16"/>
    </i>
    <i>
      <x v="17"/>
    </i>
    <i>
      <x v="21"/>
    </i>
    <i>
      <x v="31"/>
    </i>
    <i>
      <x v="3"/>
    </i>
    <i>
      <x v="24"/>
    </i>
    <i>
      <x v="35"/>
    </i>
    <i>
      <x v="12"/>
    </i>
    <i>
      <x v="13"/>
    </i>
    <i>
      <x v="29"/>
    </i>
    <i>
      <x v="30"/>
    </i>
    <i>
      <x v="22"/>
    </i>
    <i>
      <x v="15"/>
    </i>
    <i>
      <x v="25"/>
    </i>
    <i>
      <x v="20"/>
    </i>
    <i>
      <x v="26"/>
    </i>
    <i>
      <x v="1"/>
    </i>
    <i>
      <x v="9"/>
    </i>
    <i>
      <x v="32"/>
    </i>
    <i>
      <x/>
    </i>
    <i>
      <x v="2"/>
    </i>
    <i>
      <x v="34"/>
    </i>
    <i>
      <x v="27"/>
    </i>
    <i>
      <x v="14"/>
    </i>
    <i>
      <x v="5"/>
    </i>
    <i>
      <x v="8"/>
    </i>
    <i>
      <x v="10"/>
    </i>
    <i>
      <x v="6"/>
    </i>
    <i>
      <x v="11"/>
    </i>
    <i>
      <x v="28"/>
    </i>
    <i>
      <x v="33"/>
    </i>
    <i>
      <x v="19"/>
    </i>
    <i>
      <x v="18"/>
    </i>
    <i>
      <x v="7"/>
    </i>
    <i>
      <x v="4"/>
    </i>
    <i t="grand">
      <x/>
    </i>
  </rowItems>
  <colItems count="1">
    <i/>
  </colItems>
  <dataFields count="1">
    <dataField name="Activ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5C8238-EE6A-4C9B-BA00-9EBBB5E52ECE}" name="PivotTable14" cacheId="11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s">
  <location ref="M3" firstHeaderRow="0" firstDataRow="0" firstDataCol="0"/>
  <pivotFields count="12">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37">
    <i>
      <x v="7"/>
    </i>
    <i>
      <x v="23"/>
    </i>
    <i>
      <x v="18"/>
    </i>
    <i>
      <x v="2"/>
    </i>
    <i>
      <x v="31"/>
    </i>
    <i>
      <x v="1"/>
    </i>
    <i>
      <x v="16"/>
    </i>
    <i>
      <x v="25"/>
    </i>
    <i>
      <x v="28"/>
    </i>
    <i>
      <x v="32"/>
    </i>
    <i>
      <x v="3"/>
    </i>
    <i>
      <x v="17"/>
    </i>
    <i>
      <x v="35"/>
    </i>
    <i>
      <x v="10"/>
    </i>
    <i>
      <x v="5"/>
    </i>
    <i>
      <x v="29"/>
    </i>
    <i>
      <x v="15"/>
    </i>
    <i>
      <x v="11"/>
    </i>
    <i>
      <x v="4"/>
    </i>
    <i>
      <x v="19"/>
    </i>
    <i>
      <x v="13"/>
    </i>
    <i>
      <x v="33"/>
    </i>
    <i>
      <x v="30"/>
    </i>
    <i>
      <x v="6"/>
    </i>
    <i>
      <x v="26"/>
    </i>
    <i>
      <x v="14"/>
    </i>
    <i>
      <x v="21"/>
    </i>
    <i>
      <x/>
    </i>
    <i>
      <x v="12"/>
    </i>
    <i>
      <x v="22"/>
    </i>
    <i>
      <x v="8"/>
    </i>
    <i>
      <x v="9"/>
    </i>
    <i>
      <x v="20"/>
    </i>
    <i>
      <x v="34"/>
    </i>
    <i>
      <x v="24"/>
    </i>
    <i>
      <x v="27"/>
    </i>
    <i t="grand">
      <x/>
    </i>
  </rowItems>
  <colItems count="1">
    <i/>
  </colItems>
  <dataFields count="1">
    <dataField name="Death%" fld="9" baseField="0"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1FB662-1BD8-4B25-9C92-C1F1C81EDC62}" name="PivotTable13" cacheId="11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s">
  <location ref="K3" firstHeaderRow="0" firstDataRow="0" firstDataCol="0"/>
  <pivotFields count="12">
    <pivotField axis="axisRow" showAll="0" sortType="de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dataFields count="1">
    <dataField name="Death%"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449CAB-1CB7-4E80-A43B-C2E5292B9C1F}" name="PivotTable2"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38" firstHeaderRow="0" firstDataRow="1" firstDataCol="1"/>
  <pivotFields count="12">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dataField="1" showAll="0"/>
    <pivotField showAll="0"/>
    <pivotField dataField="1" showAll="0"/>
    <pivotField showAll="0"/>
    <pivotField showAll="0"/>
    <pivotField showAll="0"/>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 Active" fld="3" baseField="0" baseItem="0"/>
    <dataField name="Death"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C1E718-D03F-4883-999A-16277B32C434}" name="PivotTable3"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zone">
  <location ref="A3:B8"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sd="0" x="1"/>
        <item sd="0" x="2"/>
        <item sd="0" x="0"/>
        <item sd="0" x="3"/>
        <item t="default"/>
      </items>
    </pivotField>
    <pivotField dataField="1" showAll="0"/>
    <pivotField showAll="0"/>
    <pivotField showAll="0"/>
    <pivotField showAll="0"/>
    <pivotField showAll="0"/>
    <pivotField showAll="0"/>
    <pivotField showAll="0"/>
    <pivotField showAll="0"/>
    <pivotField showAll="0"/>
    <pivotField showAll="0"/>
  </pivotFields>
  <rowFields count="2">
    <field x="1"/>
    <field x="0"/>
  </rowFields>
  <rowItems count="5">
    <i>
      <x/>
    </i>
    <i>
      <x v="1"/>
    </i>
    <i>
      <x v="2"/>
    </i>
    <i>
      <x v="3"/>
    </i>
    <i t="grand">
      <x/>
    </i>
  </rowItems>
  <colItems count="1">
    <i/>
  </colItems>
  <dataFields count="1">
    <dataField name="Total_Cases" fld="2" baseField="0" baseItem="0"/>
  </dataFields>
  <chartFormats count="12">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2">
          <reference field="4294967294" count="1" selected="0">
            <x v="0"/>
          </reference>
          <reference field="1" count="1" selected="0">
            <x v="2"/>
          </reference>
        </references>
      </pivotArea>
    </chartFormat>
    <chartFormat chart="5" format="7">
      <pivotArea type="data" outline="0" fieldPosition="0">
        <references count="2">
          <reference field="4294967294" count="1" selected="0">
            <x v="0"/>
          </reference>
          <reference field="1"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 chart="6" format="12">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7DA185-A5B6-4CFD-9235-AD1182748C31}" name="PivotTable7" cacheId="6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s">
  <location ref="N14:O16" firstHeaderRow="1" firstDataRow="1" firstDataCol="1"/>
  <pivotFields count="16384">
    <pivotField axis="axisRow" showAll="0" sortType="ascending">
      <items count="38">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Items count="1">
    <i/>
  </colItems>
  <dataFields count="1">
    <dataField name="Recovered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D0DBD7-122F-4B0A-8687-143EC63066B3}" name="PivotTable6" cacheId="6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s">
  <location ref="N6:O8" firstHeaderRow="1" firstDataRow="1" firstDataCol="1"/>
  <pivotFields count="16384">
    <pivotField axis="axisRow" showAll="0" sortType="descending">
      <items count="38">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Items count="1">
    <i/>
  </colItems>
  <dataFields count="1">
    <dataField name="Recovered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57195ED-F52E-41A8-90D2-916A39A280B6}" name="PivotTable4"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38" firstHeaderRow="1" firstDataRow="1" firstDataCol="1"/>
  <pivotFields count="12">
    <pivotField axis="axisRow" showAll="0" sortType="descending">
      <items count="37">
        <item x="0"/>
        <item x="1"/>
        <item n="3"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s>
  <rowFields count="1">
    <field x="0"/>
  </rowFields>
  <rowItems count="37">
    <i>
      <x v="7"/>
    </i>
    <i>
      <x v="18"/>
    </i>
    <i>
      <x v="2"/>
    </i>
    <i>
      <x v="1"/>
    </i>
    <i>
      <x v="28"/>
    </i>
    <i>
      <x v="25"/>
    </i>
    <i>
      <x v="32"/>
    </i>
    <i>
      <x v="31"/>
    </i>
    <i>
      <x v="10"/>
    </i>
    <i>
      <x v="5"/>
    </i>
    <i>
      <x v="11"/>
    </i>
    <i>
      <x v="4"/>
    </i>
    <i>
      <x v="33"/>
    </i>
    <i>
      <x v="19"/>
    </i>
    <i>
      <x v="6"/>
    </i>
    <i>
      <x v="14"/>
    </i>
    <i>
      <x v="3"/>
    </i>
    <i>
      <x v="15"/>
    </i>
    <i>
      <x v="29"/>
    </i>
    <i>
      <x v="26"/>
    </i>
    <i>
      <x v="30"/>
    </i>
    <i>
      <x v="35"/>
    </i>
    <i>
      <x v="17"/>
    </i>
    <i>
      <x v="8"/>
    </i>
    <i>
      <x v="13"/>
    </i>
    <i>
      <x/>
    </i>
    <i>
      <x v="9"/>
    </i>
    <i>
      <x v="22"/>
    </i>
    <i>
      <x v="16"/>
    </i>
    <i>
      <x v="12"/>
    </i>
    <i>
      <x v="34"/>
    </i>
    <i>
      <x v="21"/>
    </i>
    <i>
      <x v="20"/>
    </i>
    <i>
      <x v="24"/>
    </i>
    <i>
      <x v="27"/>
    </i>
    <i>
      <x v="23"/>
    </i>
    <i t="grand">
      <x/>
    </i>
  </rowItems>
  <colItems count="1">
    <i/>
  </colItems>
  <dataFields count="1">
    <dataField name="Sum of Discharge Ratio"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7BAD8D-FB1F-49CA-8B31-54E9B59DF5B5}" name="PivotTable9"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O51" firstHeaderRow="1" firstDataRow="1" firstDataCol="1"/>
  <pivotFields count="12">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37">
    <i>
      <x v="7"/>
    </i>
    <i>
      <x v="23"/>
    </i>
    <i>
      <x v="18"/>
    </i>
    <i>
      <x v="2"/>
    </i>
    <i>
      <x v="31"/>
    </i>
    <i>
      <x v="1"/>
    </i>
    <i>
      <x v="16"/>
    </i>
    <i>
      <x v="25"/>
    </i>
    <i>
      <x v="28"/>
    </i>
    <i>
      <x v="32"/>
    </i>
    <i>
      <x v="3"/>
    </i>
    <i>
      <x v="17"/>
    </i>
    <i>
      <x v="35"/>
    </i>
    <i>
      <x v="10"/>
    </i>
    <i>
      <x v="5"/>
    </i>
    <i>
      <x v="29"/>
    </i>
    <i>
      <x v="15"/>
    </i>
    <i>
      <x v="11"/>
    </i>
    <i>
      <x v="4"/>
    </i>
    <i>
      <x v="19"/>
    </i>
    <i>
      <x v="13"/>
    </i>
    <i>
      <x v="33"/>
    </i>
    <i>
      <x v="30"/>
    </i>
    <i>
      <x v="6"/>
    </i>
    <i>
      <x v="26"/>
    </i>
    <i>
      <x v="14"/>
    </i>
    <i>
      <x v="21"/>
    </i>
    <i>
      <x/>
    </i>
    <i>
      <x v="12"/>
    </i>
    <i>
      <x v="22"/>
    </i>
    <i>
      <x v="8"/>
    </i>
    <i>
      <x v="9"/>
    </i>
    <i>
      <x v="20"/>
    </i>
    <i>
      <x v="34"/>
    </i>
    <i>
      <x v="24"/>
    </i>
    <i>
      <x v="27"/>
    </i>
    <i t="grand">
      <x/>
    </i>
  </rowItems>
  <colItems count="1">
    <i/>
  </colItems>
  <dataFields count="1">
    <dataField name="Sum of Death Ratio"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68F7D44-DB3B-4D81-9ED9-2099C59E0764}" name="PivotTable8" cacheId="6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N6:O8" firstHeaderRow="1" firstDataRow="1" firstDataCol="1"/>
  <pivotFields count="16384">
    <pivotField axis="axisRow" showAll="0" sortType="descending">
      <items count="38">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Items count="1">
    <i/>
  </colItems>
  <dataFields count="1">
    <dataField name="Sum of Death Ratio"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B131403-9A21-40EC-B767-61EEB05B3C76}" name="PivotTable5"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38"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5">
        <item x="1"/>
        <item x="2"/>
        <item x="0"/>
        <item x="3"/>
        <item t="default"/>
      </items>
    </pivotField>
    <pivotField showAll="0"/>
    <pivotField showAll="0"/>
    <pivotField showAll="0"/>
    <pivotField showAll="0"/>
    <pivotField showAll="0"/>
    <pivotField showAll="0"/>
    <pivotField showAll="0">
      <items count="3">
        <item x="1"/>
        <item x="0"/>
        <item t="default"/>
      </items>
    </pivotField>
    <pivotField dataField="1"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eath Ratio" fld="9"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1" xr10:uid="{16170101-60EB-4027-AC27-B7078586012C}" sourceName="Discharge Avg">
  <pivotTables>
    <pivotTable tabId="6" name="PivotTable5"/>
  </pivotTables>
  <data>
    <tabular pivotCacheId="85339624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2" xr10:uid="{15BE0CAE-D3DE-4D6F-A485-174B015379A2}" sourceName="Discharge Avg">
  <pivotTables>
    <pivotTable tabId="5" name="PivotTable4"/>
  </pivotTables>
  <data>
    <tabular pivotCacheId="8533962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D7DBCB35-B0C6-449F-AE31-9295B3ACB0A1}" sourceName="Zone">
  <pivotTables>
    <pivotTable tabId="4" name="PivotTable3"/>
    <pivotTable tabId="3" name="PivotTable13"/>
    <pivotTable tabId="3" name="PivotTable14"/>
    <pivotTable tabId="3" name="PivotTable15"/>
    <pivotTable tabId="3" name="PivotTable16"/>
    <pivotTable tabId="3" name="PivotTable2"/>
    <pivotTable tabId="2" name="PivotTable12"/>
    <pivotTable tabId="6" name="PivotTable5"/>
    <pivotTable tabId="6" name="PivotTable9"/>
    <pivotTable tabId="5" name="PivotTable4"/>
  </pivotTables>
  <data>
    <tabular pivotCacheId="853396246">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99192FF9-02EC-4706-AB3B-925E36762DF5}" sourceName="State/UTs">
  <pivotTables>
    <pivotTable tabId="3" name="PivotTable16"/>
    <pivotTable tabId="3" name="PivotTable2"/>
    <pivotTable tabId="3" name="PivotTable13"/>
    <pivotTable tabId="3" name="PivotTable14"/>
    <pivotTable tabId="2" name="PivotTable12"/>
    <pivotTable tabId="6" name="PivotTable5"/>
    <pivotTable tabId="6" name="PivotTable9"/>
    <pivotTable tabId="9" name="PivotTable11"/>
    <pivotTable tabId="4" name="PivotTable3"/>
  </pivotTables>
  <data>
    <tabular pivotCacheId="853396246">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harge Avg 3" xr10:uid="{6C7A1F8E-B4B0-42EF-914D-301C918C5581}" cache="Slicer_Discharge_Avg1" caption="Discharge Avg (Avg value = 1.28)" columnCount="2" rowHeight="234950"/>
  <slicer name="Discharge Avg 1" xr10:uid="{CC6A71DF-A99C-41F4-B2F4-C918CFE9F68C}" cache="Slicer_Discharge_Avg2" caption="Recovered Avg(Avg value=98.26)" columnCount="2" rowHeight="234950"/>
  <slicer name="Zone 1" xr10:uid="{8CBE6B7F-6A6A-4977-8744-4E61B6B96F7A}" cache="Slicer_Zone" caption="Zone" rowHeight="234950"/>
  <slicer name="State/UTs" xr10:uid="{72E40C8C-8571-4B97-BD4F-4073DBE6EE5D}" cache="Slicer_State_UTs" caption="State/UT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E61D692F-E077-4BB3-8384-F462D80BFCE4}" cache="Slicer_Zone" caption="Zo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harge Avg" xr10:uid="{CFB0541D-0197-4402-B5EB-A1DA0F576CCD}" cache="Slicer_Discharge_Avg2" caption="Recovered Avg(Avg value=98.26)" columnCoun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harge Avg 2" xr10:uid="{7BB80BDC-78D5-4A66-B487-ECFB58E9C7C5}" cache="Slicer_Discharge_Avg1" caption="Discharge Avg (Avg value = 1.28)" columnCount="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3.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4.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workbookViewId="0">
      <pane xSplit="1" ySplit="1" topLeftCell="B7" activePane="bottomRight" state="frozen"/>
      <selection pane="topRight" activeCell="B1" sqref="B1"/>
      <selection pane="bottomLeft" activeCell="A2" sqref="A2"/>
      <selection pane="bottomRight" sqref="A1:XFD37"/>
    </sheetView>
  </sheetViews>
  <sheetFormatPr defaultColWidth="0" defaultRowHeight="14.4" zeroHeight="1" x14ac:dyDescent="0.3"/>
  <cols>
    <col min="1" max="1" width="19.21875" bestFit="1" customWidth="1"/>
    <col min="2" max="2" width="8.33203125" customWidth="1"/>
    <col min="3" max="3" width="12.77734375" bestFit="1" customWidth="1"/>
    <col min="4" max="4" width="7.77734375" bestFit="1" customWidth="1"/>
    <col min="5" max="5" width="12.77734375" bestFit="1" customWidth="1"/>
    <col min="6" max="6" width="8.44140625" bestFit="1" customWidth="1"/>
    <col min="7" max="7" width="14" bestFit="1" customWidth="1"/>
    <col min="8" max="8" width="17.77734375" bestFit="1" customWidth="1"/>
    <col min="9" max="9" width="16.109375" bestFit="1" customWidth="1"/>
    <col min="10" max="10" width="13.6640625" bestFit="1" customWidth="1"/>
    <col min="11" max="11" width="13.21875" bestFit="1" customWidth="1"/>
    <col min="12" max="12" width="12.44140625" bestFit="1" customWidth="1"/>
    <col min="13" max="16384" width="8.88671875" hidden="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14</v>
      </c>
      <c r="J2">
        <v>1.68</v>
      </c>
      <c r="K2" t="s">
        <v>15</v>
      </c>
      <c r="L2">
        <v>399001</v>
      </c>
    </row>
    <row r="3" spans="1:12" x14ac:dyDescent="0.3">
      <c r="A3" t="s">
        <v>16</v>
      </c>
      <c r="B3" t="s">
        <v>13</v>
      </c>
      <c r="C3">
        <v>2069770</v>
      </c>
      <c r="D3">
        <v>3128</v>
      </c>
      <c r="E3">
        <v>2052230</v>
      </c>
      <c r="F3">
        <v>14412</v>
      </c>
      <c r="G3">
        <v>0.15</v>
      </c>
      <c r="H3">
        <v>99.15</v>
      </c>
      <c r="I3" t="s">
        <v>15</v>
      </c>
      <c r="J3">
        <v>0.7</v>
      </c>
      <c r="K3" t="s">
        <v>14</v>
      </c>
      <c r="L3">
        <v>91702478</v>
      </c>
    </row>
    <row r="4" spans="1:12" x14ac:dyDescent="0.3">
      <c r="A4" t="s">
        <v>17</v>
      </c>
      <c r="B4" t="s">
        <v>18</v>
      </c>
      <c r="C4">
        <v>55216</v>
      </c>
      <c r="D4">
        <v>42</v>
      </c>
      <c r="E4">
        <v>54894</v>
      </c>
      <c r="F4">
        <v>280</v>
      </c>
      <c r="G4">
        <v>0.08</v>
      </c>
      <c r="H4">
        <v>99.42</v>
      </c>
      <c r="I4" t="s">
        <v>15</v>
      </c>
      <c r="J4">
        <v>0.51</v>
      </c>
      <c r="K4" t="s">
        <v>14</v>
      </c>
      <c r="L4">
        <v>1711947</v>
      </c>
    </row>
    <row r="5" spans="1:12" x14ac:dyDescent="0.3">
      <c r="A5" t="s">
        <v>19</v>
      </c>
      <c r="B5" t="s">
        <v>18</v>
      </c>
      <c r="C5">
        <v>613784</v>
      </c>
      <c r="D5">
        <v>3272</v>
      </c>
      <c r="E5">
        <v>604465</v>
      </c>
      <c r="F5">
        <v>6047</v>
      </c>
      <c r="G5">
        <v>0.53</v>
      </c>
      <c r="H5">
        <v>98.48</v>
      </c>
      <c r="I5" t="s">
        <v>15</v>
      </c>
      <c r="J5">
        <v>0.99</v>
      </c>
      <c r="K5" t="s">
        <v>14</v>
      </c>
      <c r="L5">
        <v>35998752</v>
      </c>
    </row>
    <row r="6" spans="1:12" x14ac:dyDescent="0.3">
      <c r="A6" t="s">
        <v>20</v>
      </c>
      <c r="B6" t="s">
        <v>18</v>
      </c>
      <c r="C6">
        <v>726153</v>
      </c>
      <c r="D6">
        <v>29</v>
      </c>
      <c r="E6">
        <v>716462</v>
      </c>
      <c r="F6">
        <v>9662</v>
      </c>
      <c r="G6">
        <v>0</v>
      </c>
      <c r="H6">
        <v>98.67</v>
      </c>
      <c r="I6" t="s">
        <v>15</v>
      </c>
      <c r="J6">
        <v>1.33</v>
      </c>
      <c r="K6" t="s">
        <v>15</v>
      </c>
      <c r="L6">
        <v>128500364</v>
      </c>
    </row>
    <row r="7" spans="1:12" x14ac:dyDescent="0.3">
      <c r="A7" t="s">
        <v>21</v>
      </c>
      <c r="B7" t="s">
        <v>22</v>
      </c>
      <c r="C7">
        <v>65380</v>
      </c>
      <c r="D7">
        <v>24</v>
      </c>
      <c r="E7">
        <v>64536</v>
      </c>
      <c r="F7">
        <v>820</v>
      </c>
      <c r="G7">
        <v>0.04</v>
      </c>
      <c r="H7">
        <v>98.71</v>
      </c>
      <c r="I7" t="s">
        <v>15</v>
      </c>
      <c r="J7">
        <v>1.25</v>
      </c>
      <c r="K7" t="s">
        <v>14</v>
      </c>
      <c r="L7">
        <v>1158040</v>
      </c>
    </row>
    <row r="8" spans="1:12" x14ac:dyDescent="0.3">
      <c r="A8" t="s">
        <v>23</v>
      </c>
      <c r="B8" t="s">
        <v>18</v>
      </c>
      <c r="C8">
        <v>1006326</v>
      </c>
      <c r="D8">
        <v>230</v>
      </c>
      <c r="E8">
        <v>992508</v>
      </c>
      <c r="F8">
        <v>13588</v>
      </c>
      <c r="G8">
        <v>0.02</v>
      </c>
      <c r="H8">
        <v>98.63</v>
      </c>
      <c r="I8" t="s">
        <v>15</v>
      </c>
      <c r="J8">
        <v>1.35</v>
      </c>
      <c r="K8" t="s">
        <v>15</v>
      </c>
      <c r="L8">
        <v>32199722</v>
      </c>
    </row>
    <row r="9" spans="1:12" x14ac:dyDescent="0.3">
      <c r="A9" t="s">
        <v>24</v>
      </c>
      <c r="B9" t="s">
        <v>25</v>
      </c>
      <c r="C9">
        <v>10682</v>
      </c>
      <c r="D9">
        <v>0</v>
      </c>
      <c r="E9">
        <v>10678</v>
      </c>
      <c r="F9">
        <v>4</v>
      </c>
      <c r="G9">
        <v>0</v>
      </c>
      <c r="H9">
        <v>99.96</v>
      </c>
      <c r="I9" t="s">
        <v>15</v>
      </c>
      <c r="J9">
        <v>0.04</v>
      </c>
      <c r="K9" t="s">
        <v>14</v>
      </c>
      <c r="L9">
        <v>773997</v>
      </c>
    </row>
    <row r="10" spans="1:12" x14ac:dyDescent="0.3">
      <c r="A10" t="s">
        <v>26</v>
      </c>
      <c r="B10" t="s">
        <v>22</v>
      </c>
      <c r="C10">
        <v>1440388</v>
      </c>
      <c r="D10">
        <v>361</v>
      </c>
      <c r="E10">
        <v>1414934</v>
      </c>
      <c r="F10">
        <v>25093</v>
      </c>
      <c r="G10">
        <v>0.03</v>
      </c>
      <c r="H10">
        <v>98.23</v>
      </c>
      <c r="I10" t="s">
        <v>14</v>
      </c>
      <c r="J10">
        <v>1.74</v>
      </c>
      <c r="K10" t="s">
        <v>15</v>
      </c>
      <c r="L10">
        <v>19301096</v>
      </c>
    </row>
    <row r="11" spans="1:12" x14ac:dyDescent="0.3">
      <c r="A11" t="s">
        <v>27</v>
      </c>
      <c r="B11" t="s">
        <v>25</v>
      </c>
      <c r="C11">
        <v>178467</v>
      </c>
      <c r="D11">
        <v>263</v>
      </c>
      <c r="E11">
        <v>174830</v>
      </c>
      <c r="F11">
        <v>3374</v>
      </c>
      <c r="G11">
        <v>0.15</v>
      </c>
      <c r="H11">
        <v>97.96</v>
      </c>
      <c r="I11" t="s">
        <v>14</v>
      </c>
      <c r="J11">
        <v>1.89</v>
      </c>
      <c r="K11" t="s">
        <v>15</v>
      </c>
      <c r="L11">
        <v>1521992</v>
      </c>
    </row>
    <row r="12" spans="1:12" x14ac:dyDescent="0.3">
      <c r="A12" t="s">
        <v>28</v>
      </c>
      <c r="B12" t="s">
        <v>25</v>
      </c>
      <c r="C12">
        <v>826924</v>
      </c>
      <c r="D12">
        <v>226</v>
      </c>
      <c r="E12">
        <v>816608</v>
      </c>
      <c r="F12">
        <v>10090</v>
      </c>
      <c r="G12">
        <v>0.03</v>
      </c>
      <c r="H12">
        <v>98.75</v>
      </c>
      <c r="I12" t="s">
        <v>15</v>
      </c>
      <c r="J12">
        <v>1.22</v>
      </c>
      <c r="K12" t="s">
        <v>14</v>
      </c>
      <c r="L12">
        <v>70400153</v>
      </c>
    </row>
    <row r="13" spans="1:12" x14ac:dyDescent="0.3">
      <c r="A13" t="s">
        <v>29</v>
      </c>
      <c r="B13" t="s">
        <v>22</v>
      </c>
      <c r="C13">
        <v>771420</v>
      </c>
      <c r="D13">
        <v>140</v>
      </c>
      <c r="E13">
        <v>761230</v>
      </c>
      <c r="F13">
        <v>10050</v>
      </c>
      <c r="G13">
        <v>0.02</v>
      </c>
      <c r="H13">
        <v>98.68</v>
      </c>
      <c r="I13" t="s">
        <v>15</v>
      </c>
      <c r="J13">
        <v>1.3</v>
      </c>
      <c r="K13" t="s">
        <v>15</v>
      </c>
      <c r="L13">
        <v>28900667</v>
      </c>
    </row>
    <row r="14" spans="1:12" x14ac:dyDescent="0.3">
      <c r="A14" t="s">
        <v>30</v>
      </c>
      <c r="B14" t="s">
        <v>22</v>
      </c>
      <c r="C14">
        <v>225712</v>
      </c>
      <c r="D14">
        <v>1100</v>
      </c>
      <c r="E14">
        <v>220800</v>
      </c>
      <c r="F14">
        <v>3812</v>
      </c>
      <c r="G14">
        <v>0.49</v>
      </c>
      <c r="H14">
        <v>97.82</v>
      </c>
      <c r="I14" t="s">
        <v>14</v>
      </c>
      <c r="J14">
        <v>1.69</v>
      </c>
      <c r="K14" t="s">
        <v>15</v>
      </c>
      <c r="L14">
        <v>7503010</v>
      </c>
    </row>
    <row r="15" spans="1:12" x14ac:dyDescent="0.3">
      <c r="A15" t="s">
        <v>31</v>
      </c>
      <c r="B15" t="s">
        <v>22</v>
      </c>
      <c r="C15">
        <v>334006</v>
      </c>
      <c r="D15">
        <v>1450</v>
      </c>
      <c r="E15">
        <v>328108</v>
      </c>
      <c r="F15">
        <v>4448</v>
      </c>
      <c r="G15">
        <v>0.43</v>
      </c>
      <c r="H15">
        <v>98.23</v>
      </c>
      <c r="I15" t="s">
        <v>14</v>
      </c>
      <c r="J15">
        <v>1.33</v>
      </c>
      <c r="K15" t="s">
        <v>15</v>
      </c>
      <c r="L15">
        <v>14999397</v>
      </c>
    </row>
    <row r="16" spans="1:12" x14ac:dyDescent="0.3">
      <c r="A16" t="s">
        <v>32</v>
      </c>
      <c r="B16" t="s">
        <v>18</v>
      </c>
      <c r="C16">
        <v>348992</v>
      </c>
      <c r="D16">
        <v>141</v>
      </c>
      <c r="E16">
        <v>343713</v>
      </c>
      <c r="F16">
        <v>5138</v>
      </c>
      <c r="G16">
        <v>0.04</v>
      </c>
      <c r="H16">
        <v>98.49</v>
      </c>
      <c r="I16" t="s">
        <v>15</v>
      </c>
      <c r="J16">
        <v>1.47</v>
      </c>
      <c r="K16" t="s">
        <v>15</v>
      </c>
      <c r="L16">
        <v>40100376</v>
      </c>
    </row>
    <row r="17" spans="1:12" x14ac:dyDescent="0.3">
      <c r="A17" t="s">
        <v>33</v>
      </c>
      <c r="B17" t="s">
        <v>13</v>
      </c>
      <c r="C17">
        <v>2991614</v>
      </c>
      <c r="D17">
        <v>8056</v>
      </c>
      <c r="E17">
        <v>2945415</v>
      </c>
      <c r="F17">
        <v>38143</v>
      </c>
      <c r="G17">
        <v>0.27</v>
      </c>
      <c r="H17">
        <v>98.46</v>
      </c>
      <c r="I17" t="s">
        <v>15</v>
      </c>
      <c r="J17">
        <v>1.27</v>
      </c>
      <c r="K17" t="s">
        <v>14</v>
      </c>
      <c r="L17">
        <v>69599762</v>
      </c>
    </row>
    <row r="18" spans="1:12" x14ac:dyDescent="0.3">
      <c r="A18" t="s">
        <v>34</v>
      </c>
      <c r="B18" t="s">
        <v>13</v>
      </c>
      <c r="C18">
        <v>5055224</v>
      </c>
      <c r="D18">
        <v>69258</v>
      </c>
      <c r="E18">
        <v>4950281</v>
      </c>
      <c r="F18">
        <v>35685</v>
      </c>
      <c r="G18">
        <v>1.37</v>
      </c>
      <c r="H18">
        <v>97.92</v>
      </c>
      <c r="I18" t="s">
        <v>14</v>
      </c>
      <c r="J18">
        <v>0.71</v>
      </c>
      <c r="K18" t="s">
        <v>14</v>
      </c>
      <c r="L18">
        <v>34698876</v>
      </c>
    </row>
    <row r="19" spans="1:12" x14ac:dyDescent="0.3">
      <c r="A19" t="s">
        <v>35</v>
      </c>
      <c r="B19" t="s">
        <v>22</v>
      </c>
      <c r="C19">
        <v>21148</v>
      </c>
      <c r="D19">
        <v>154</v>
      </c>
      <c r="E19">
        <v>20783</v>
      </c>
      <c r="F19">
        <v>211</v>
      </c>
      <c r="G19">
        <v>0.73</v>
      </c>
      <c r="H19">
        <v>98.27</v>
      </c>
      <c r="I19" t="s">
        <v>14</v>
      </c>
      <c r="J19">
        <v>1</v>
      </c>
      <c r="K19" t="s">
        <v>14</v>
      </c>
      <c r="L19">
        <v>290492</v>
      </c>
    </row>
    <row r="20" spans="1:12" x14ac:dyDescent="0.3">
      <c r="A20" t="s">
        <v>36</v>
      </c>
      <c r="B20" t="s">
        <v>13</v>
      </c>
      <c r="C20">
        <v>10365</v>
      </c>
      <c r="D20">
        <v>0</v>
      </c>
      <c r="E20">
        <v>10314</v>
      </c>
      <c r="F20">
        <v>51</v>
      </c>
      <c r="G20">
        <v>0</v>
      </c>
      <c r="H20">
        <v>99.51</v>
      </c>
      <c r="I20" t="s">
        <v>15</v>
      </c>
      <c r="J20">
        <v>0.49</v>
      </c>
      <c r="K20" t="s">
        <v>14</v>
      </c>
      <c r="L20">
        <v>66001</v>
      </c>
    </row>
    <row r="21" spans="1:12" x14ac:dyDescent="0.3">
      <c r="A21" t="s">
        <v>37</v>
      </c>
      <c r="B21" t="s">
        <v>25</v>
      </c>
      <c r="C21">
        <v>792956</v>
      </c>
      <c r="D21">
        <v>75</v>
      </c>
      <c r="E21">
        <v>782357</v>
      </c>
      <c r="F21">
        <v>10524</v>
      </c>
      <c r="G21">
        <v>0.01</v>
      </c>
      <c r="H21">
        <v>98.66</v>
      </c>
      <c r="I21" t="s">
        <v>15</v>
      </c>
      <c r="J21">
        <v>1.33</v>
      </c>
      <c r="K21" t="s">
        <v>15</v>
      </c>
      <c r="L21">
        <v>85002417</v>
      </c>
    </row>
    <row r="22" spans="1:12" x14ac:dyDescent="0.3">
      <c r="A22" t="s">
        <v>38</v>
      </c>
      <c r="B22" t="s">
        <v>25</v>
      </c>
      <c r="C22">
        <v>6623344</v>
      </c>
      <c r="D22">
        <v>15866</v>
      </c>
      <c r="E22">
        <v>6466913</v>
      </c>
      <c r="F22">
        <v>140565</v>
      </c>
      <c r="G22">
        <v>0.24</v>
      </c>
      <c r="H22">
        <v>97.64</v>
      </c>
      <c r="I22" t="s">
        <v>14</v>
      </c>
      <c r="J22">
        <v>2.12</v>
      </c>
      <c r="K22" t="s">
        <v>15</v>
      </c>
      <c r="L22">
        <v>124904071</v>
      </c>
    </row>
    <row r="23" spans="1:12" x14ac:dyDescent="0.3">
      <c r="A23" t="s">
        <v>39</v>
      </c>
      <c r="B23" t="s">
        <v>18</v>
      </c>
      <c r="C23">
        <v>124432</v>
      </c>
      <c r="D23">
        <v>799</v>
      </c>
      <c r="E23">
        <v>121687</v>
      </c>
      <c r="F23">
        <v>1946</v>
      </c>
      <c r="G23">
        <v>0.64</v>
      </c>
      <c r="H23">
        <v>97.79</v>
      </c>
      <c r="I23" t="s">
        <v>14</v>
      </c>
      <c r="J23">
        <v>1.56</v>
      </c>
      <c r="K23" t="s">
        <v>15</v>
      </c>
      <c r="L23">
        <v>3436948</v>
      </c>
    </row>
    <row r="24" spans="1:12" x14ac:dyDescent="0.3">
      <c r="A24" t="s">
        <v>40</v>
      </c>
      <c r="B24" t="s">
        <v>18</v>
      </c>
      <c r="C24">
        <v>84013</v>
      </c>
      <c r="D24">
        <v>277</v>
      </c>
      <c r="E24">
        <v>82274</v>
      </c>
      <c r="F24">
        <v>1462</v>
      </c>
      <c r="G24">
        <v>0.33</v>
      </c>
      <c r="H24">
        <v>97.93</v>
      </c>
      <c r="I24" t="s">
        <v>14</v>
      </c>
      <c r="J24">
        <v>1.74</v>
      </c>
      <c r="K24" t="s">
        <v>15</v>
      </c>
      <c r="L24">
        <v>3772103</v>
      </c>
    </row>
    <row r="25" spans="1:12" x14ac:dyDescent="0.3">
      <c r="A25" t="s">
        <v>41</v>
      </c>
      <c r="B25" t="s">
        <v>18</v>
      </c>
      <c r="C25">
        <v>128604</v>
      </c>
      <c r="D25">
        <v>5651</v>
      </c>
      <c r="E25">
        <v>122494</v>
      </c>
      <c r="F25">
        <v>459</v>
      </c>
      <c r="G25">
        <v>4.3899999999999997</v>
      </c>
      <c r="H25">
        <v>95.25</v>
      </c>
      <c r="I25" t="s">
        <v>14</v>
      </c>
      <c r="J25">
        <v>0.36</v>
      </c>
      <c r="K25" t="s">
        <v>14</v>
      </c>
      <c r="L25">
        <v>1308967</v>
      </c>
    </row>
    <row r="26" spans="1:12" x14ac:dyDescent="0.3">
      <c r="A26" t="s">
        <v>42</v>
      </c>
      <c r="B26" t="s">
        <v>18</v>
      </c>
      <c r="C26">
        <v>31978</v>
      </c>
      <c r="D26">
        <v>163</v>
      </c>
      <c r="E26">
        <v>31123</v>
      </c>
      <c r="F26">
        <v>692</v>
      </c>
      <c r="G26">
        <v>0.51</v>
      </c>
      <c r="H26">
        <v>97.33</v>
      </c>
      <c r="I26" t="s">
        <v>14</v>
      </c>
      <c r="J26">
        <v>2.16</v>
      </c>
      <c r="K26" t="s">
        <v>15</v>
      </c>
      <c r="L26">
        <v>2073074</v>
      </c>
    </row>
    <row r="27" spans="1:12" x14ac:dyDescent="0.3">
      <c r="A27" t="s">
        <v>43</v>
      </c>
      <c r="B27" t="s">
        <v>18</v>
      </c>
      <c r="C27">
        <v>1045209</v>
      </c>
      <c r="D27">
        <v>2534</v>
      </c>
      <c r="E27">
        <v>1034300</v>
      </c>
      <c r="F27">
        <v>8375</v>
      </c>
      <c r="G27">
        <v>0.24</v>
      </c>
      <c r="H27">
        <v>98.96</v>
      </c>
      <c r="I27" t="s">
        <v>15</v>
      </c>
      <c r="J27">
        <v>0.8</v>
      </c>
      <c r="K27" t="s">
        <v>14</v>
      </c>
      <c r="L27">
        <v>47099270</v>
      </c>
    </row>
    <row r="28" spans="1:12" x14ac:dyDescent="0.3">
      <c r="A28" t="s">
        <v>44</v>
      </c>
      <c r="B28" t="s">
        <v>13</v>
      </c>
      <c r="C28">
        <v>128401</v>
      </c>
      <c r="D28">
        <v>275</v>
      </c>
      <c r="E28">
        <v>126263</v>
      </c>
      <c r="F28">
        <v>1863</v>
      </c>
      <c r="G28">
        <v>0.21</v>
      </c>
      <c r="H28">
        <v>98.33</v>
      </c>
      <c r="I28" t="s">
        <v>14</v>
      </c>
      <c r="J28">
        <v>1.45</v>
      </c>
      <c r="K28" t="s">
        <v>15</v>
      </c>
      <c r="L28">
        <v>1646050</v>
      </c>
    </row>
    <row r="29" spans="1:12" x14ac:dyDescent="0.3">
      <c r="A29" t="s">
        <v>45</v>
      </c>
      <c r="B29" t="s">
        <v>22</v>
      </c>
      <c r="C29">
        <v>602778</v>
      </c>
      <c r="D29">
        <v>318</v>
      </c>
      <c r="E29">
        <v>585889</v>
      </c>
      <c r="F29">
        <v>16571</v>
      </c>
      <c r="G29">
        <v>0.05</v>
      </c>
      <c r="H29">
        <v>97.2</v>
      </c>
      <c r="I29" t="s">
        <v>14</v>
      </c>
      <c r="J29">
        <v>2.75</v>
      </c>
      <c r="K29" t="s">
        <v>15</v>
      </c>
      <c r="L29">
        <v>30501026</v>
      </c>
    </row>
    <row r="30" spans="1:12" x14ac:dyDescent="0.3">
      <c r="A30" t="s">
        <v>46</v>
      </c>
      <c r="B30" t="s">
        <v>25</v>
      </c>
      <c r="C30">
        <v>954503</v>
      </c>
      <c r="D30">
        <v>71</v>
      </c>
      <c r="E30">
        <v>945478</v>
      </c>
      <c r="F30">
        <v>8954</v>
      </c>
      <c r="G30">
        <v>0.01</v>
      </c>
      <c r="H30">
        <v>99.05</v>
      </c>
      <c r="I30" t="s">
        <v>15</v>
      </c>
      <c r="J30">
        <v>0.94</v>
      </c>
      <c r="K30" t="s">
        <v>14</v>
      </c>
      <c r="L30">
        <v>79502477</v>
      </c>
    </row>
    <row r="31" spans="1:12" x14ac:dyDescent="0.3">
      <c r="A31" t="s">
        <v>47</v>
      </c>
      <c r="B31" t="s">
        <v>18</v>
      </c>
      <c r="C31">
        <v>32096</v>
      </c>
      <c r="D31">
        <v>121</v>
      </c>
      <c r="E31">
        <v>31575</v>
      </c>
      <c r="F31">
        <v>400</v>
      </c>
      <c r="G31">
        <v>0.38</v>
      </c>
      <c r="H31">
        <v>98.38</v>
      </c>
      <c r="I31" t="s">
        <v>15</v>
      </c>
      <c r="J31">
        <v>1.25</v>
      </c>
      <c r="K31" t="s">
        <v>14</v>
      </c>
      <c r="L31">
        <v>658019</v>
      </c>
    </row>
    <row r="32" spans="1:12" x14ac:dyDescent="0.3">
      <c r="A32" t="s">
        <v>48</v>
      </c>
      <c r="B32" t="s">
        <v>13</v>
      </c>
      <c r="C32">
        <v>2714025</v>
      </c>
      <c r="D32">
        <v>9751</v>
      </c>
      <c r="E32">
        <v>2668001</v>
      </c>
      <c r="F32">
        <v>36273</v>
      </c>
      <c r="G32">
        <v>0.36</v>
      </c>
      <c r="H32">
        <v>98.3</v>
      </c>
      <c r="I32" t="s">
        <v>14</v>
      </c>
      <c r="J32">
        <v>1.34</v>
      </c>
      <c r="K32" t="s">
        <v>15</v>
      </c>
      <c r="L32">
        <v>83697770</v>
      </c>
    </row>
    <row r="33" spans="1:12" x14ac:dyDescent="0.3">
      <c r="A33" t="s">
        <v>49</v>
      </c>
      <c r="B33" t="s">
        <v>13</v>
      </c>
      <c r="C33">
        <v>673469</v>
      </c>
      <c r="D33">
        <v>3741</v>
      </c>
      <c r="E33">
        <v>665755</v>
      </c>
      <c r="F33">
        <v>3973</v>
      </c>
      <c r="G33">
        <v>0.56000000000000005</v>
      </c>
      <c r="H33">
        <v>98.85</v>
      </c>
      <c r="I33" t="s">
        <v>15</v>
      </c>
      <c r="J33">
        <v>0.59</v>
      </c>
      <c r="K33" t="s">
        <v>14</v>
      </c>
      <c r="L33">
        <v>38157311</v>
      </c>
    </row>
    <row r="34" spans="1:12" x14ac:dyDescent="0.3">
      <c r="A34" t="s">
        <v>50</v>
      </c>
      <c r="B34" t="s">
        <v>18</v>
      </c>
      <c r="C34">
        <v>84665</v>
      </c>
      <c r="D34">
        <v>116</v>
      </c>
      <c r="E34">
        <v>83732</v>
      </c>
      <c r="F34">
        <v>817</v>
      </c>
      <c r="G34">
        <v>0.14000000000000001</v>
      </c>
      <c r="H34">
        <v>98.9</v>
      </c>
      <c r="I34" t="s">
        <v>15</v>
      </c>
      <c r="J34">
        <v>0.96</v>
      </c>
      <c r="K34" t="s">
        <v>14</v>
      </c>
      <c r="L34">
        <v>4184959</v>
      </c>
    </row>
    <row r="35" spans="1:12" x14ac:dyDescent="0.3">
      <c r="A35" t="s">
        <v>51</v>
      </c>
      <c r="B35" t="s">
        <v>22</v>
      </c>
      <c r="C35">
        <v>1710261</v>
      </c>
      <c r="D35">
        <v>90</v>
      </c>
      <c r="E35">
        <v>1687262</v>
      </c>
      <c r="F35">
        <v>22909</v>
      </c>
      <c r="G35">
        <v>0.01</v>
      </c>
      <c r="H35">
        <v>98.66</v>
      </c>
      <c r="I35" t="s">
        <v>15</v>
      </c>
      <c r="J35">
        <v>1.34</v>
      </c>
      <c r="K35" t="s">
        <v>15</v>
      </c>
      <c r="L35">
        <v>231502578</v>
      </c>
    </row>
    <row r="36" spans="1:12" x14ac:dyDescent="0.3">
      <c r="A36" t="s">
        <v>52</v>
      </c>
      <c r="B36" t="s">
        <v>22</v>
      </c>
      <c r="C36">
        <v>344014</v>
      </c>
      <c r="D36">
        <v>158</v>
      </c>
      <c r="E36">
        <v>336453</v>
      </c>
      <c r="F36">
        <v>7403</v>
      </c>
      <c r="G36">
        <v>0.05</v>
      </c>
      <c r="H36">
        <v>97.8</v>
      </c>
      <c r="I36" t="s">
        <v>14</v>
      </c>
      <c r="J36">
        <v>2.15</v>
      </c>
      <c r="K36" t="s">
        <v>15</v>
      </c>
      <c r="L36">
        <v>11700099</v>
      </c>
    </row>
    <row r="37" spans="1:12" x14ac:dyDescent="0.3">
      <c r="A37" t="s">
        <v>53</v>
      </c>
      <c r="B37" t="s">
        <v>18</v>
      </c>
      <c r="C37">
        <v>1603318</v>
      </c>
      <c r="D37">
        <v>8031</v>
      </c>
      <c r="E37">
        <v>1575980</v>
      </c>
      <c r="F37">
        <v>19307</v>
      </c>
      <c r="G37">
        <v>0.5</v>
      </c>
      <c r="H37">
        <v>98.29</v>
      </c>
      <c r="I37" t="s">
        <v>14</v>
      </c>
      <c r="J37">
        <v>1.2</v>
      </c>
      <c r="K37" t="s">
        <v>14</v>
      </c>
      <c r="L37">
        <v>100896618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9F6A-A6FE-49D9-A47C-53FA3A7E82B5}">
  <dimension ref="A5:G39"/>
  <sheetViews>
    <sheetView tabSelected="1" workbookViewId="0">
      <selection activeCell="O3" sqref="O3"/>
    </sheetView>
  </sheetViews>
  <sheetFormatPr defaultRowHeight="14.4" x14ac:dyDescent="0.3"/>
  <cols>
    <col min="1" max="1" width="14.6640625" style="4" customWidth="1"/>
    <col min="2" max="2" width="14" style="4" customWidth="1"/>
    <col min="3" max="3" width="18" style="4" bestFit="1" customWidth="1"/>
    <col min="4" max="4" width="17.5546875" style="4" customWidth="1"/>
    <col min="5" max="6" width="8.88671875" style="4"/>
    <col min="7" max="7" width="13.6640625" style="4" bestFit="1" customWidth="1"/>
    <col min="8" max="16384" width="8.88671875" style="4"/>
  </cols>
  <sheetData>
    <row r="5" spans="1:7" x14ac:dyDescent="0.3">
      <c r="A5" s="13"/>
      <c r="B5" s="13"/>
      <c r="C5" s="14" t="s">
        <v>2</v>
      </c>
      <c r="D5" s="13"/>
    </row>
    <row r="6" spans="1:7" x14ac:dyDescent="0.3">
      <c r="A6" s="15" t="s">
        <v>63</v>
      </c>
      <c r="D6" s="15" t="s">
        <v>64</v>
      </c>
    </row>
    <row r="7" spans="1:7" x14ac:dyDescent="0.3">
      <c r="A7" s="16" t="s">
        <v>61</v>
      </c>
      <c r="B7" s="16" t="s">
        <v>62</v>
      </c>
      <c r="C7" s="5" t="s">
        <v>61</v>
      </c>
      <c r="D7" s="5" t="s">
        <v>62</v>
      </c>
    </row>
    <row r="8" spans="1:7" x14ac:dyDescent="0.3">
      <c r="A8" s="18" t="s">
        <v>38</v>
      </c>
      <c r="B8" s="18">
        <v>6623344</v>
      </c>
      <c r="C8" s="26" t="s">
        <v>12</v>
      </c>
      <c r="D8" s="27">
        <v>7670</v>
      </c>
      <c r="G8" s="6"/>
    </row>
    <row r="9" spans="1:7" x14ac:dyDescent="0.3">
      <c r="A9" s="18" t="s">
        <v>34</v>
      </c>
      <c r="B9" s="18">
        <v>5055224</v>
      </c>
      <c r="C9" s="26" t="s">
        <v>36</v>
      </c>
      <c r="D9" s="27">
        <v>10365</v>
      </c>
      <c r="G9"/>
    </row>
    <row r="10" spans="1:7" x14ac:dyDescent="0.3">
      <c r="A10" s="18" t="s">
        <v>33</v>
      </c>
      <c r="B10" s="18">
        <v>2991614</v>
      </c>
      <c r="C10" s="26" t="s">
        <v>24</v>
      </c>
      <c r="D10" s="27">
        <v>10682</v>
      </c>
    </row>
    <row r="11" spans="1:7" x14ac:dyDescent="0.3">
      <c r="A11" s="18" t="s">
        <v>48</v>
      </c>
      <c r="B11" s="18">
        <v>2714025</v>
      </c>
      <c r="C11" s="26" t="s">
        <v>35</v>
      </c>
      <c r="D11" s="27">
        <v>21148</v>
      </c>
    </row>
    <row r="12" spans="1:7" x14ac:dyDescent="0.3">
      <c r="A12" s="18" t="s">
        <v>16</v>
      </c>
      <c r="B12" s="18">
        <v>2069770</v>
      </c>
      <c r="C12" s="26" t="s">
        <v>42</v>
      </c>
      <c r="D12" s="27">
        <v>31978</v>
      </c>
    </row>
    <row r="13" spans="1:7" x14ac:dyDescent="0.3">
      <c r="A13" s="17"/>
      <c r="B13" s="17"/>
      <c r="C13" s="17"/>
      <c r="D13" s="17"/>
    </row>
    <row r="14" spans="1:7" ht="15.6" x14ac:dyDescent="0.3">
      <c r="A14" s="19" t="s">
        <v>65</v>
      </c>
      <c r="B14" s="19"/>
      <c r="C14" s="19"/>
      <c r="D14" s="19"/>
    </row>
    <row r="15" spans="1:7" x14ac:dyDescent="0.3">
      <c r="A15" s="15" t="s">
        <v>63</v>
      </c>
      <c r="D15" s="15" t="s">
        <v>64</v>
      </c>
    </row>
    <row r="16" spans="1:7" x14ac:dyDescent="0.3">
      <c r="A16" s="5" t="s">
        <v>61</v>
      </c>
      <c r="B16" s="5" t="s">
        <v>66</v>
      </c>
      <c r="C16" s="5" t="s">
        <v>61</v>
      </c>
      <c r="D16" s="5" t="s">
        <v>66</v>
      </c>
    </row>
    <row r="17" spans="1:4" x14ac:dyDescent="0.3">
      <c r="A17" s="22" t="s">
        <v>24</v>
      </c>
      <c r="B17" s="23">
        <v>99.96</v>
      </c>
      <c r="C17" s="26" t="s">
        <v>41</v>
      </c>
      <c r="D17" s="27">
        <v>95.25</v>
      </c>
    </row>
    <row r="18" spans="1:4" x14ac:dyDescent="0.3">
      <c r="A18" s="22" t="s">
        <v>36</v>
      </c>
      <c r="B18" s="23">
        <v>99.51</v>
      </c>
      <c r="C18" s="26" t="s">
        <v>45</v>
      </c>
      <c r="D18" s="27">
        <v>97.2</v>
      </c>
    </row>
    <row r="19" spans="1:4" x14ac:dyDescent="0.3">
      <c r="A19" s="22" t="s">
        <v>17</v>
      </c>
      <c r="B19" s="23">
        <v>99.42</v>
      </c>
      <c r="C19" s="26" t="s">
        <v>42</v>
      </c>
      <c r="D19" s="27">
        <v>97.33</v>
      </c>
    </row>
    <row r="20" spans="1:4" x14ac:dyDescent="0.3">
      <c r="A20" s="22" t="s">
        <v>16</v>
      </c>
      <c r="B20" s="23">
        <v>99.15</v>
      </c>
      <c r="C20" s="26" t="s">
        <v>38</v>
      </c>
      <c r="D20" s="27">
        <v>97.64</v>
      </c>
    </row>
    <row r="21" spans="1:4" x14ac:dyDescent="0.3">
      <c r="A21" s="22" t="s">
        <v>46</v>
      </c>
      <c r="B21" s="23">
        <v>99.05</v>
      </c>
      <c r="C21" s="26" t="s">
        <v>39</v>
      </c>
      <c r="D21" s="27">
        <v>97.79</v>
      </c>
    </row>
    <row r="23" spans="1:4" x14ac:dyDescent="0.3">
      <c r="A23" s="24" t="s">
        <v>67</v>
      </c>
      <c r="B23" s="25"/>
      <c r="C23" s="25"/>
      <c r="D23" s="25"/>
    </row>
    <row r="24" spans="1:4" x14ac:dyDescent="0.3">
      <c r="A24" s="15" t="s">
        <v>63</v>
      </c>
      <c r="C24" s="15" t="s">
        <v>64</v>
      </c>
    </row>
    <row r="25" spans="1:4" x14ac:dyDescent="0.3">
      <c r="A25" s="28" t="s">
        <v>61</v>
      </c>
      <c r="B25" s="28" t="s">
        <v>68</v>
      </c>
      <c r="C25" s="28" t="s">
        <v>61</v>
      </c>
      <c r="D25" s="28" t="s">
        <v>68</v>
      </c>
    </row>
    <row r="26" spans="1:4" x14ac:dyDescent="0.3">
      <c r="A26" s="20" t="s">
        <v>45</v>
      </c>
      <c r="B26" s="21">
        <v>2.75</v>
      </c>
      <c r="C26" s="20" t="s">
        <v>24</v>
      </c>
      <c r="D26" s="21">
        <v>0.04</v>
      </c>
    </row>
    <row r="27" spans="1:4" x14ac:dyDescent="0.3">
      <c r="A27" s="20" t="s">
        <v>42</v>
      </c>
      <c r="B27" s="21">
        <v>2.16</v>
      </c>
      <c r="C27" s="20" t="s">
        <v>41</v>
      </c>
      <c r="D27" s="21">
        <v>0.36</v>
      </c>
    </row>
    <row r="28" spans="1:4" x14ac:dyDescent="0.3">
      <c r="A28" s="20" t="s">
        <v>52</v>
      </c>
      <c r="B28" s="21">
        <v>2.15</v>
      </c>
      <c r="C28" s="20" t="s">
        <v>36</v>
      </c>
      <c r="D28" s="21">
        <v>0.49</v>
      </c>
    </row>
    <row r="29" spans="1:4" x14ac:dyDescent="0.3">
      <c r="A29" s="20" t="s">
        <v>38</v>
      </c>
      <c r="B29" s="21">
        <v>2.12</v>
      </c>
      <c r="C29" s="20" t="s">
        <v>17</v>
      </c>
      <c r="D29" s="21">
        <v>0.51</v>
      </c>
    </row>
    <row r="30" spans="1:4" x14ac:dyDescent="0.3">
      <c r="A30" s="20" t="s">
        <v>27</v>
      </c>
      <c r="B30" s="21">
        <v>1.89</v>
      </c>
      <c r="C30" s="20" t="s">
        <v>49</v>
      </c>
      <c r="D30" s="21">
        <v>0.59</v>
      </c>
    </row>
    <row r="32" spans="1:4" x14ac:dyDescent="0.3">
      <c r="A32" s="29"/>
      <c r="B32" s="29"/>
      <c r="C32" s="29"/>
      <c r="D32" s="29"/>
    </row>
    <row r="33" spans="1:4" x14ac:dyDescent="0.3">
      <c r="A33" s="15" t="s">
        <v>63</v>
      </c>
      <c r="C33" s="15" t="s">
        <v>64</v>
      </c>
    </row>
    <row r="34" spans="1:4" x14ac:dyDescent="0.3">
      <c r="A34" s="28" t="s">
        <v>61</v>
      </c>
      <c r="B34" s="28" t="s">
        <v>70</v>
      </c>
      <c r="C34" s="28" t="s">
        <v>61</v>
      </c>
      <c r="D34" s="28" t="s">
        <v>70</v>
      </c>
    </row>
    <row r="35" spans="1:4" x14ac:dyDescent="0.3">
      <c r="A35" s="20" t="s">
        <v>41</v>
      </c>
      <c r="B35" s="21">
        <v>4.3899999999999997</v>
      </c>
      <c r="C35" s="20" t="s">
        <v>36</v>
      </c>
      <c r="D35" s="21">
        <v>0</v>
      </c>
    </row>
    <row r="36" spans="1:4" x14ac:dyDescent="0.3">
      <c r="A36" s="20" t="s">
        <v>34</v>
      </c>
      <c r="B36" s="21">
        <v>1.37</v>
      </c>
      <c r="C36" s="20" t="s">
        <v>24</v>
      </c>
      <c r="D36" s="21">
        <v>0</v>
      </c>
    </row>
    <row r="37" spans="1:4" x14ac:dyDescent="0.3">
      <c r="A37" s="20" t="s">
        <v>35</v>
      </c>
      <c r="B37" s="21">
        <v>0.73</v>
      </c>
      <c r="C37" s="20" t="s">
        <v>20</v>
      </c>
      <c r="D37" s="21">
        <v>0</v>
      </c>
    </row>
    <row r="38" spans="1:4" x14ac:dyDescent="0.3">
      <c r="A38" s="20" t="s">
        <v>39</v>
      </c>
      <c r="B38" s="21">
        <v>0.64</v>
      </c>
      <c r="C38" s="20" t="s">
        <v>37</v>
      </c>
      <c r="D38" s="21">
        <v>0.01</v>
      </c>
    </row>
    <row r="39" spans="1:4" x14ac:dyDescent="0.3">
      <c r="A39" s="20" t="s">
        <v>49</v>
      </c>
      <c r="B39" s="21">
        <v>0.56000000000000005</v>
      </c>
      <c r="C39" s="20" t="s">
        <v>46</v>
      </c>
      <c r="D39" s="21">
        <v>0.01</v>
      </c>
    </row>
  </sheetData>
  <mergeCells count="3">
    <mergeCell ref="A14:D14"/>
    <mergeCell ref="A23:D23"/>
    <mergeCell ref="A32:D32"/>
  </mergeCells>
  <conditionalFormatting sqref="A7:B12">
    <cfRule type="dataBar" priority="11">
      <dataBar>
        <cfvo type="min"/>
        <cfvo type="max"/>
        <color rgb="FFFFB628"/>
      </dataBar>
      <extLst>
        <ext xmlns:x14="http://schemas.microsoft.com/office/spreadsheetml/2009/9/main" uri="{B025F937-C7B1-47D3-B67F-A62EFF666E3E}">
          <x14:id>{A7483DBA-749B-4947-BA73-21C413F31EAB}</x14:id>
        </ext>
      </extLst>
    </cfRule>
  </conditionalFormatting>
  <conditionalFormatting sqref="A17:B21">
    <cfRule type="dataBar" priority="10">
      <dataBar>
        <cfvo type="min"/>
        <cfvo type="max"/>
        <color rgb="FF92D050"/>
      </dataBar>
      <extLst>
        <ext xmlns:x14="http://schemas.microsoft.com/office/spreadsheetml/2009/9/main" uri="{B025F937-C7B1-47D3-B67F-A62EFF666E3E}">
          <x14:id>{D0993290-0B29-4A63-8C1F-7ECD6B8258B8}</x14:id>
        </ext>
      </extLst>
    </cfRule>
    <cfRule type="dataBar" priority="6">
      <dataBar>
        <cfvo type="min"/>
        <cfvo type="max"/>
        <color rgb="FF638EC6"/>
      </dataBar>
      <extLst>
        <ext xmlns:x14="http://schemas.microsoft.com/office/spreadsheetml/2009/9/main" uri="{B025F937-C7B1-47D3-B67F-A62EFF666E3E}">
          <x14:id>{D59DBDBC-21B6-4DD1-BF63-8D8E98A54980}</x14:id>
        </ext>
      </extLst>
    </cfRule>
    <cfRule type="dataBar" priority="5">
      <dataBar>
        <cfvo type="min"/>
        <cfvo type="max"/>
        <color rgb="FF92D050"/>
      </dataBar>
      <extLst>
        <ext xmlns:x14="http://schemas.microsoft.com/office/spreadsheetml/2009/9/main" uri="{B025F937-C7B1-47D3-B67F-A62EFF666E3E}">
          <x14:id>{8A94BE2A-5F4B-4663-AAA7-1E3FE21C4A9A}</x14:id>
        </ext>
      </extLst>
    </cfRule>
  </conditionalFormatting>
  <conditionalFormatting sqref="C17:D21">
    <cfRule type="dataBar" priority="9">
      <dataBar>
        <cfvo type="min"/>
        <cfvo type="max"/>
        <color rgb="FF638EC6"/>
      </dataBar>
      <extLst>
        <ext xmlns:x14="http://schemas.microsoft.com/office/spreadsheetml/2009/9/main" uri="{B025F937-C7B1-47D3-B67F-A62EFF666E3E}">
          <x14:id>{70EC344A-0491-43F9-9434-7BFF6479208E}</x14:id>
        </ext>
      </extLst>
    </cfRule>
    <cfRule type="dataBar" priority="8">
      <dataBar>
        <cfvo type="min"/>
        <cfvo type="max"/>
        <color theme="6" tint="-0.249977111117893"/>
      </dataBar>
      <extLst>
        <ext xmlns:x14="http://schemas.microsoft.com/office/spreadsheetml/2009/9/main" uri="{B025F937-C7B1-47D3-B67F-A62EFF666E3E}">
          <x14:id>{BC1F68DA-407E-4706-8EDB-6BCD8732F085}</x14:id>
        </ext>
      </extLst>
    </cfRule>
    <cfRule type="dataBar" priority="7">
      <dataBar>
        <cfvo type="min"/>
        <cfvo type="max"/>
        <color rgb="FF92D050"/>
      </dataBar>
      <extLst>
        <ext xmlns:x14="http://schemas.microsoft.com/office/spreadsheetml/2009/9/main" uri="{B025F937-C7B1-47D3-B67F-A62EFF666E3E}">
          <x14:id>{9DFB05C6-60F4-4CD1-9CCF-6480B86BCE32}</x14:id>
        </ext>
      </extLst>
    </cfRule>
  </conditionalFormatting>
  <conditionalFormatting sqref="A26:B30">
    <cfRule type="dataBar" priority="4">
      <dataBar>
        <cfvo type="min"/>
        <cfvo type="max"/>
        <color rgb="FFFF555A"/>
      </dataBar>
      <extLst>
        <ext xmlns:x14="http://schemas.microsoft.com/office/spreadsheetml/2009/9/main" uri="{B025F937-C7B1-47D3-B67F-A62EFF666E3E}">
          <x14:id>{AE218D86-7241-47F4-98B4-E7F06F203BBD}</x14:id>
        </ext>
      </extLst>
    </cfRule>
  </conditionalFormatting>
  <conditionalFormatting sqref="C26:D30">
    <cfRule type="dataBar" priority="3">
      <dataBar>
        <cfvo type="min"/>
        <cfvo type="max"/>
        <color rgb="FFFF555A"/>
      </dataBar>
      <extLst>
        <ext xmlns:x14="http://schemas.microsoft.com/office/spreadsheetml/2009/9/main" uri="{B025F937-C7B1-47D3-B67F-A62EFF666E3E}">
          <x14:id>{D58889F5-8163-49D5-A08B-D6C2567C9EF6}</x14:id>
        </ext>
      </extLst>
    </cfRule>
  </conditionalFormatting>
  <conditionalFormatting sqref="A35:B39">
    <cfRule type="dataBar" priority="2">
      <dataBar>
        <cfvo type="min"/>
        <cfvo type="max"/>
        <color rgb="FF008AEF"/>
      </dataBar>
      <extLst>
        <ext xmlns:x14="http://schemas.microsoft.com/office/spreadsheetml/2009/9/main" uri="{B025F937-C7B1-47D3-B67F-A62EFF666E3E}">
          <x14:id>{A62B1ADD-E0E8-4224-B8B9-AADC7E0D4B41}</x14:id>
        </ext>
      </extLst>
    </cfRule>
  </conditionalFormatting>
  <conditionalFormatting sqref="C35:D39">
    <cfRule type="dataBar" priority="1">
      <dataBar>
        <cfvo type="min"/>
        <cfvo type="max"/>
        <color rgb="FF008AEF"/>
      </dataBar>
      <extLst>
        <ext xmlns:x14="http://schemas.microsoft.com/office/spreadsheetml/2009/9/main" uri="{B025F937-C7B1-47D3-B67F-A62EFF666E3E}">
          <x14:id>{D6F012BB-9A81-476A-B0FB-E2004A7F028E}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7483DBA-749B-4947-BA73-21C413F31EAB}">
            <x14:dataBar minLength="0" maxLength="100" border="1" negativeBarBorderColorSameAsPositive="0">
              <x14:cfvo type="autoMin"/>
              <x14:cfvo type="autoMax"/>
              <x14:borderColor rgb="FFFFB628"/>
              <x14:negativeFillColor rgb="FFFF0000"/>
              <x14:negativeBorderColor rgb="FFFF0000"/>
              <x14:axisColor rgb="FF000000"/>
            </x14:dataBar>
          </x14:cfRule>
          <xm:sqref>A7:B12</xm:sqref>
        </x14:conditionalFormatting>
        <x14:conditionalFormatting xmlns:xm="http://schemas.microsoft.com/office/excel/2006/main">
          <x14:cfRule type="dataBar" id="{D0993290-0B29-4A63-8C1F-7ECD6B8258B8}">
            <x14:dataBar minLength="0" maxLength="100" gradient="0">
              <x14:cfvo type="min"/>
              <x14:cfvo type="max"/>
              <x14:negativeFillColor rgb="FFFF0000"/>
              <x14:axisColor rgb="FF000000"/>
            </x14:dataBar>
          </x14:cfRule>
          <x14:cfRule type="dataBar" id="{D59DBDBC-21B6-4DD1-BF63-8D8E98A54980}">
            <x14:dataBar minLength="0" maxLength="100">
              <x14:cfvo type="autoMin"/>
              <x14:cfvo type="autoMax"/>
              <x14:negativeFillColor rgb="FFFF0000"/>
              <x14:axisColor rgb="FF000000"/>
            </x14:dataBar>
          </x14:cfRule>
          <x14:cfRule type="dataBar" id="{8A94BE2A-5F4B-4663-AAA7-1E3FE21C4A9A}">
            <x14:dataBar minLength="0" maxLength="100">
              <x14:cfvo type="min"/>
              <x14:cfvo type="max"/>
              <x14:negativeFillColor rgb="FFFF0000"/>
              <x14:axisColor rgb="FF000000"/>
            </x14:dataBar>
          </x14:cfRule>
          <xm:sqref>A17:B21</xm:sqref>
        </x14:conditionalFormatting>
        <x14:conditionalFormatting xmlns:xm="http://schemas.microsoft.com/office/excel/2006/main">
          <x14:cfRule type="dataBar" id="{70EC344A-0491-43F9-9434-7BFF6479208E}">
            <x14:dataBar minLength="0" maxLength="100" gradient="0">
              <x14:cfvo type="min"/>
              <x14:cfvo type="max"/>
              <x14:negativeFillColor rgb="FFFF0000"/>
              <x14:axisColor rgb="FF000000"/>
            </x14:dataBar>
          </x14:cfRule>
          <x14:cfRule type="dataBar" id="{BC1F68DA-407E-4706-8EDB-6BCD8732F085}">
            <x14:dataBar minLength="0" maxLength="100" gradient="0">
              <x14:cfvo type="autoMin"/>
              <x14:cfvo type="autoMax"/>
              <x14:negativeFillColor rgb="FFFF0000"/>
              <x14:axisColor rgb="FF000000"/>
            </x14:dataBar>
          </x14:cfRule>
          <x14:cfRule type="dataBar" id="{9DFB05C6-60F4-4CD1-9CCF-6480B86BCE32}">
            <x14:dataBar minLength="0" maxLength="100">
              <x14:cfvo type="min"/>
              <x14:cfvo type="autoMax"/>
              <x14:negativeFillColor rgb="FFFF0000"/>
              <x14:axisColor rgb="FF000000"/>
            </x14:dataBar>
          </x14:cfRule>
          <xm:sqref>C17:D21</xm:sqref>
        </x14:conditionalFormatting>
        <x14:conditionalFormatting xmlns:xm="http://schemas.microsoft.com/office/excel/2006/main">
          <x14:cfRule type="dataBar" id="{AE218D86-7241-47F4-98B4-E7F06F203BBD}">
            <x14:dataBar minLength="0" maxLength="100" border="1" negativeBarBorderColorSameAsPositive="0">
              <x14:cfvo type="autoMin"/>
              <x14:cfvo type="autoMax"/>
              <x14:borderColor rgb="FFFF555A"/>
              <x14:negativeFillColor rgb="FFFF0000"/>
              <x14:negativeBorderColor rgb="FFFF0000"/>
              <x14:axisColor rgb="FF000000"/>
            </x14:dataBar>
          </x14:cfRule>
          <xm:sqref>A26:B30</xm:sqref>
        </x14:conditionalFormatting>
        <x14:conditionalFormatting xmlns:xm="http://schemas.microsoft.com/office/excel/2006/main">
          <x14:cfRule type="dataBar" id="{D58889F5-8163-49D5-A08B-D6C2567C9EF6}">
            <x14:dataBar minLength="0" maxLength="100" border="1" negativeBarBorderColorSameAsPositive="0">
              <x14:cfvo type="autoMin"/>
              <x14:cfvo type="autoMax"/>
              <x14:borderColor rgb="FFFF555A"/>
              <x14:negativeFillColor rgb="FFFF0000"/>
              <x14:negativeBorderColor rgb="FFFF0000"/>
              <x14:axisColor rgb="FF000000"/>
            </x14:dataBar>
          </x14:cfRule>
          <xm:sqref>C26:D30</xm:sqref>
        </x14:conditionalFormatting>
        <x14:conditionalFormatting xmlns:xm="http://schemas.microsoft.com/office/excel/2006/main">
          <x14:cfRule type="dataBar" id="{A62B1ADD-E0E8-4224-B8B9-AADC7E0D4B41}">
            <x14:dataBar minLength="0" maxLength="100" border="1" negativeBarBorderColorSameAsPositive="0">
              <x14:cfvo type="autoMin"/>
              <x14:cfvo type="autoMax"/>
              <x14:borderColor rgb="FF008AEF"/>
              <x14:negativeFillColor rgb="FFFF0000"/>
              <x14:negativeBorderColor rgb="FFFF0000"/>
              <x14:axisColor rgb="FF000000"/>
            </x14:dataBar>
          </x14:cfRule>
          <xm:sqref>A35:B39</xm:sqref>
        </x14:conditionalFormatting>
        <x14:conditionalFormatting xmlns:xm="http://schemas.microsoft.com/office/excel/2006/main">
          <x14:cfRule type="dataBar" id="{D6F012BB-9A81-476A-B0FB-E2004A7F028E}">
            <x14:dataBar minLength="0" maxLength="100" border="1" negativeBarBorderColorSameAsPositive="0">
              <x14:cfvo type="autoMin"/>
              <x14:cfvo type="autoMax"/>
              <x14:borderColor rgb="FF008AEF"/>
              <x14:negativeFillColor rgb="FFFF0000"/>
              <x14:negativeBorderColor rgb="FFFF0000"/>
              <x14:axisColor rgb="FF000000"/>
            </x14:dataBar>
          </x14:cfRule>
          <xm:sqref>C35:D39</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327D-D4EA-4C52-A822-5A5CE26B2EC9}">
  <dimension ref="A3:J52"/>
  <sheetViews>
    <sheetView workbookViewId="0">
      <selection activeCell="N22" sqref="N22"/>
    </sheetView>
  </sheetViews>
  <sheetFormatPr defaultRowHeight="14.4" x14ac:dyDescent="0.3"/>
  <cols>
    <col min="1" max="1" width="13.44140625" bestFit="1" customWidth="1"/>
    <col min="2" max="2" width="9.5546875" bestFit="1" customWidth="1"/>
    <col min="3" max="3" width="10.6640625" bestFit="1" customWidth="1"/>
    <col min="4" max="6" width="6" bestFit="1" customWidth="1"/>
    <col min="7" max="7" width="14.5546875" bestFit="1" customWidth="1"/>
    <col min="8" max="8" width="6" bestFit="1" customWidth="1"/>
    <col min="9" max="9" width="19.21875" bestFit="1" customWidth="1"/>
    <col min="10" max="10" width="16.77734375" bestFit="1" customWidth="1"/>
    <col min="11" max="11" width="6" bestFit="1" customWidth="1"/>
    <col min="12" max="27" width="7" bestFit="1" customWidth="1"/>
    <col min="28" max="37" width="8" bestFit="1" customWidth="1"/>
    <col min="38" max="38" width="7" bestFit="1" customWidth="1"/>
    <col min="39" max="39" width="10.77734375" bestFit="1" customWidth="1"/>
  </cols>
  <sheetData>
    <row r="3" spans="1:10" x14ac:dyDescent="0.3">
      <c r="A3" s="2" t="s">
        <v>54</v>
      </c>
      <c r="B3" t="s">
        <v>60</v>
      </c>
      <c r="C3" t="s">
        <v>71</v>
      </c>
    </row>
    <row r="4" spans="1:10" x14ac:dyDescent="0.3">
      <c r="A4" s="3" t="s">
        <v>24</v>
      </c>
      <c r="B4" s="9">
        <v>10682</v>
      </c>
      <c r="C4" s="9">
        <v>10678</v>
      </c>
    </row>
    <row r="5" spans="1:10" x14ac:dyDescent="0.3">
      <c r="A5" s="3" t="s">
        <v>55</v>
      </c>
      <c r="B5" s="9">
        <v>10682</v>
      </c>
      <c r="C5" s="9">
        <v>10678</v>
      </c>
    </row>
    <row r="7" spans="1:10" x14ac:dyDescent="0.3">
      <c r="I7" s="2" t="s">
        <v>54</v>
      </c>
      <c r="J7" t="s">
        <v>56</v>
      </c>
    </row>
    <row r="8" spans="1:10" x14ac:dyDescent="0.3">
      <c r="I8" s="3" t="s">
        <v>24</v>
      </c>
      <c r="J8" s="9">
        <v>10678</v>
      </c>
    </row>
    <row r="9" spans="1:10" x14ac:dyDescent="0.3">
      <c r="I9" s="3" t="s">
        <v>55</v>
      </c>
      <c r="J9" s="9">
        <v>10678</v>
      </c>
    </row>
    <row r="11" spans="1:10" x14ac:dyDescent="0.3">
      <c r="G11" s="7">
        <f>SUM(B4:B39)/10000000</f>
        <v>2.1364000000000001E-3</v>
      </c>
    </row>
    <row r="13" spans="1:10" x14ac:dyDescent="0.3">
      <c r="G13" s="8">
        <f>SUM(C4:C39)/SUM(B4:B39)</f>
        <v>0.99962553828870993</v>
      </c>
    </row>
    <row r="15" spans="1:10" x14ac:dyDescent="0.3">
      <c r="I15" s="2" t="s">
        <v>54</v>
      </c>
      <c r="J15" t="s">
        <v>56</v>
      </c>
    </row>
    <row r="16" spans="1:10" x14ac:dyDescent="0.3">
      <c r="I16" s="3" t="s">
        <v>12</v>
      </c>
      <c r="J16" s="9">
        <v>7534</v>
      </c>
    </row>
    <row r="17" spans="9:10" x14ac:dyDescent="0.3">
      <c r="I17" s="3" t="s">
        <v>36</v>
      </c>
      <c r="J17" s="9">
        <v>10314</v>
      </c>
    </row>
    <row r="18" spans="9:10" x14ac:dyDescent="0.3">
      <c r="I18" s="3" t="s">
        <v>24</v>
      </c>
      <c r="J18" s="9">
        <v>10678</v>
      </c>
    </row>
    <row r="19" spans="9:10" x14ac:dyDescent="0.3">
      <c r="I19" s="3" t="s">
        <v>35</v>
      </c>
      <c r="J19" s="9">
        <v>20783</v>
      </c>
    </row>
    <row r="20" spans="9:10" x14ac:dyDescent="0.3">
      <c r="I20" s="3" t="s">
        <v>42</v>
      </c>
      <c r="J20" s="9">
        <v>31123</v>
      </c>
    </row>
    <row r="21" spans="9:10" x14ac:dyDescent="0.3">
      <c r="I21" s="3" t="s">
        <v>47</v>
      </c>
      <c r="J21" s="9">
        <v>31575</v>
      </c>
    </row>
    <row r="22" spans="9:10" x14ac:dyDescent="0.3">
      <c r="I22" s="3" t="s">
        <v>17</v>
      </c>
      <c r="J22" s="9">
        <v>54894</v>
      </c>
    </row>
    <row r="23" spans="9:10" x14ac:dyDescent="0.3">
      <c r="I23" s="3" t="s">
        <v>21</v>
      </c>
      <c r="J23" s="9">
        <v>64536</v>
      </c>
    </row>
    <row r="24" spans="9:10" x14ac:dyDescent="0.3">
      <c r="I24" s="3" t="s">
        <v>40</v>
      </c>
      <c r="J24" s="9">
        <v>82274</v>
      </c>
    </row>
    <row r="25" spans="9:10" x14ac:dyDescent="0.3">
      <c r="I25" s="3" t="s">
        <v>50</v>
      </c>
      <c r="J25" s="9">
        <v>83732</v>
      </c>
    </row>
    <row r="26" spans="9:10" x14ac:dyDescent="0.3">
      <c r="I26" s="3" t="s">
        <v>39</v>
      </c>
      <c r="J26" s="9">
        <v>121687</v>
      </c>
    </row>
    <row r="27" spans="9:10" x14ac:dyDescent="0.3">
      <c r="I27" s="3" t="s">
        <v>41</v>
      </c>
      <c r="J27" s="9">
        <v>122494</v>
      </c>
    </row>
    <row r="28" spans="9:10" x14ac:dyDescent="0.3">
      <c r="I28" s="3" t="s">
        <v>44</v>
      </c>
      <c r="J28" s="9">
        <v>126263</v>
      </c>
    </row>
    <row r="29" spans="9:10" x14ac:dyDescent="0.3">
      <c r="I29" s="3" t="s">
        <v>27</v>
      </c>
      <c r="J29" s="9">
        <v>174830</v>
      </c>
    </row>
    <row r="30" spans="9:10" x14ac:dyDescent="0.3">
      <c r="I30" s="3" t="s">
        <v>30</v>
      </c>
      <c r="J30" s="9">
        <v>220800</v>
      </c>
    </row>
    <row r="31" spans="9:10" x14ac:dyDescent="0.3">
      <c r="I31" s="3" t="s">
        <v>31</v>
      </c>
      <c r="J31" s="9">
        <v>328108</v>
      </c>
    </row>
    <row r="32" spans="9:10" x14ac:dyDescent="0.3">
      <c r="I32" s="3" t="s">
        <v>52</v>
      </c>
      <c r="J32" s="9">
        <v>336453</v>
      </c>
    </row>
    <row r="33" spans="9:10" x14ac:dyDescent="0.3">
      <c r="I33" s="3" t="s">
        <v>32</v>
      </c>
      <c r="J33" s="9">
        <v>343713</v>
      </c>
    </row>
    <row r="34" spans="9:10" x14ac:dyDescent="0.3">
      <c r="I34" s="3" t="s">
        <v>45</v>
      </c>
      <c r="J34" s="9">
        <v>585889</v>
      </c>
    </row>
    <row r="35" spans="9:10" x14ac:dyDescent="0.3">
      <c r="I35" s="3" t="s">
        <v>19</v>
      </c>
      <c r="J35" s="9">
        <v>604465</v>
      </c>
    </row>
    <row r="36" spans="9:10" x14ac:dyDescent="0.3">
      <c r="I36" s="3" t="s">
        <v>49</v>
      </c>
      <c r="J36" s="9">
        <v>665755</v>
      </c>
    </row>
    <row r="37" spans="9:10" x14ac:dyDescent="0.3">
      <c r="I37" s="3" t="s">
        <v>20</v>
      </c>
      <c r="J37" s="9">
        <v>716462</v>
      </c>
    </row>
    <row r="38" spans="9:10" x14ac:dyDescent="0.3">
      <c r="I38" s="3" t="s">
        <v>29</v>
      </c>
      <c r="J38" s="9">
        <v>761230</v>
      </c>
    </row>
    <row r="39" spans="9:10" x14ac:dyDescent="0.3">
      <c r="I39" s="3" t="s">
        <v>37</v>
      </c>
      <c r="J39" s="9">
        <v>782357</v>
      </c>
    </row>
    <row r="40" spans="9:10" x14ac:dyDescent="0.3">
      <c r="I40" s="3" t="s">
        <v>28</v>
      </c>
      <c r="J40" s="9">
        <v>816608</v>
      </c>
    </row>
    <row r="41" spans="9:10" x14ac:dyDescent="0.3">
      <c r="I41" s="3" t="s">
        <v>46</v>
      </c>
      <c r="J41" s="9">
        <v>945478</v>
      </c>
    </row>
    <row r="42" spans="9:10" x14ac:dyDescent="0.3">
      <c r="I42" s="3" t="s">
        <v>23</v>
      </c>
      <c r="J42" s="9">
        <v>992508</v>
      </c>
    </row>
    <row r="43" spans="9:10" x14ac:dyDescent="0.3">
      <c r="I43" s="3" t="s">
        <v>43</v>
      </c>
      <c r="J43" s="9">
        <v>1034300</v>
      </c>
    </row>
    <row r="44" spans="9:10" x14ac:dyDescent="0.3">
      <c r="I44" s="3" t="s">
        <v>26</v>
      </c>
      <c r="J44" s="9">
        <v>1414934</v>
      </c>
    </row>
    <row r="45" spans="9:10" x14ac:dyDescent="0.3">
      <c r="I45" s="3" t="s">
        <v>53</v>
      </c>
      <c r="J45" s="9">
        <v>1575980</v>
      </c>
    </row>
    <row r="46" spans="9:10" x14ac:dyDescent="0.3">
      <c r="I46" s="3" t="s">
        <v>51</v>
      </c>
      <c r="J46" s="9">
        <v>1687262</v>
      </c>
    </row>
    <row r="47" spans="9:10" x14ac:dyDescent="0.3">
      <c r="I47" s="3" t="s">
        <v>16</v>
      </c>
      <c r="J47" s="9">
        <v>2052230</v>
      </c>
    </row>
    <row r="48" spans="9:10" x14ac:dyDescent="0.3">
      <c r="I48" s="3" t="s">
        <v>48</v>
      </c>
      <c r="J48" s="9">
        <v>2668001</v>
      </c>
    </row>
    <row r="49" spans="9:10" x14ac:dyDescent="0.3">
      <c r="I49" s="3" t="s">
        <v>33</v>
      </c>
      <c r="J49" s="9">
        <v>2945415</v>
      </c>
    </row>
    <row r="50" spans="9:10" x14ac:dyDescent="0.3">
      <c r="I50" s="3" t="s">
        <v>34</v>
      </c>
      <c r="J50" s="9">
        <v>4950281</v>
      </c>
    </row>
    <row r="51" spans="9:10" x14ac:dyDescent="0.3">
      <c r="I51" s="3" t="s">
        <v>38</v>
      </c>
      <c r="J51" s="9">
        <v>6466913</v>
      </c>
    </row>
    <row r="52" spans="9:10" x14ac:dyDescent="0.3">
      <c r="I52" s="3" t="s">
        <v>55</v>
      </c>
      <c r="J52" s="9">
        <v>33837859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2FE4-D6C0-441A-8E54-4C815E94DC38}">
  <dimension ref="A2:D39"/>
  <sheetViews>
    <sheetView zoomScale="130" zoomScaleNormal="130" workbookViewId="0">
      <selection activeCell="E42" sqref="E42"/>
    </sheetView>
  </sheetViews>
  <sheetFormatPr defaultRowHeight="14.4" x14ac:dyDescent="0.3"/>
  <cols>
    <col min="1" max="1" width="14" bestFit="1" customWidth="1"/>
    <col min="2" max="2" width="6" bestFit="1" customWidth="1"/>
    <col min="3" max="3" width="19.88671875" bestFit="1" customWidth="1"/>
    <col min="4" max="4" width="9" bestFit="1" customWidth="1"/>
    <col min="5" max="5" width="9.44140625" bestFit="1" customWidth="1"/>
  </cols>
  <sheetData>
    <row r="2" spans="1:4" x14ac:dyDescent="0.3">
      <c r="A2" s="2" t="s">
        <v>61</v>
      </c>
      <c r="B2" t="s">
        <v>62</v>
      </c>
      <c r="C2" s="2" t="s">
        <v>61</v>
      </c>
      <c r="D2" t="s">
        <v>62</v>
      </c>
    </row>
    <row r="3" spans="1:4" x14ac:dyDescent="0.3">
      <c r="A3" s="3" t="s">
        <v>24</v>
      </c>
      <c r="B3" s="9">
        <v>10682</v>
      </c>
      <c r="C3" s="3" t="s">
        <v>12</v>
      </c>
      <c r="D3" s="9">
        <v>7670</v>
      </c>
    </row>
    <row r="4" spans="1:4" x14ac:dyDescent="0.3">
      <c r="A4" s="3" t="s">
        <v>55</v>
      </c>
      <c r="B4" s="12">
        <v>10682</v>
      </c>
      <c r="C4" s="3" t="s">
        <v>36</v>
      </c>
      <c r="D4" s="9">
        <v>10365</v>
      </c>
    </row>
    <row r="5" spans="1:4" x14ac:dyDescent="0.3">
      <c r="C5" s="3" t="s">
        <v>24</v>
      </c>
      <c r="D5" s="9">
        <v>10682</v>
      </c>
    </row>
    <row r="6" spans="1:4" x14ac:dyDescent="0.3">
      <c r="C6" s="3" t="s">
        <v>35</v>
      </c>
      <c r="D6" s="9">
        <v>21148</v>
      </c>
    </row>
    <row r="7" spans="1:4" x14ac:dyDescent="0.3">
      <c r="C7" s="3" t="s">
        <v>42</v>
      </c>
      <c r="D7" s="9">
        <v>31978</v>
      </c>
    </row>
    <row r="8" spans="1:4" x14ac:dyDescent="0.3">
      <c r="C8" s="3" t="s">
        <v>47</v>
      </c>
      <c r="D8" s="9">
        <v>32096</v>
      </c>
    </row>
    <row r="9" spans="1:4" x14ac:dyDescent="0.3">
      <c r="C9" s="3" t="s">
        <v>17</v>
      </c>
      <c r="D9" s="9">
        <v>55216</v>
      </c>
    </row>
    <row r="10" spans="1:4" x14ac:dyDescent="0.3">
      <c r="C10" s="3" t="s">
        <v>21</v>
      </c>
      <c r="D10" s="9">
        <v>65380</v>
      </c>
    </row>
    <row r="11" spans="1:4" x14ac:dyDescent="0.3">
      <c r="C11" s="3" t="s">
        <v>40</v>
      </c>
      <c r="D11" s="9">
        <v>84013</v>
      </c>
    </row>
    <row r="12" spans="1:4" x14ac:dyDescent="0.3">
      <c r="C12" s="3" t="s">
        <v>50</v>
      </c>
      <c r="D12" s="9">
        <v>84665</v>
      </c>
    </row>
    <row r="13" spans="1:4" x14ac:dyDescent="0.3">
      <c r="C13" s="3" t="s">
        <v>39</v>
      </c>
      <c r="D13" s="9">
        <v>124432</v>
      </c>
    </row>
    <row r="14" spans="1:4" x14ac:dyDescent="0.3">
      <c r="C14" s="3" t="s">
        <v>44</v>
      </c>
      <c r="D14" s="9">
        <v>128401</v>
      </c>
    </row>
    <row r="15" spans="1:4" x14ac:dyDescent="0.3">
      <c r="C15" s="3" t="s">
        <v>41</v>
      </c>
      <c r="D15" s="9">
        <v>128604</v>
      </c>
    </row>
    <row r="16" spans="1:4" x14ac:dyDescent="0.3">
      <c r="C16" s="3" t="s">
        <v>27</v>
      </c>
      <c r="D16" s="9">
        <v>178467</v>
      </c>
    </row>
    <row r="17" spans="3:4" x14ac:dyDescent="0.3">
      <c r="C17" s="3" t="s">
        <v>30</v>
      </c>
      <c r="D17" s="9">
        <v>225712</v>
      </c>
    </row>
    <row r="18" spans="3:4" x14ac:dyDescent="0.3">
      <c r="C18" s="3" t="s">
        <v>31</v>
      </c>
      <c r="D18" s="9">
        <v>334006</v>
      </c>
    </row>
    <row r="19" spans="3:4" x14ac:dyDescent="0.3">
      <c r="C19" s="3" t="s">
        <v>52</v>
      </c>
      <c r="D19" s="9">
        <v>344014</v>
      </c>
    </row>
    <row r="20" spans="3:4" x14ac:dyDescent="0.3">
      <c r="C20" s="3" t="s">
        <v>32</v>
      </c>
      <c r="D20" s="9">
        <v>348992</v>
      </c>
    </row>
    <row r="21" spans="3:4" x14ac:dyDescent="0.3">
      <c r="C21" s="3" t="s">
        <v>45</v>
      </c>
      <c r="D21" s="9">
        <v>602778</v>
      </c>
    </row>
    <row r="22" spans="3:4" x14ac:dyDescent="0.3">
      <c r="C22" s="3" t="s">
        <v>19</v>
      </c>
      <c r="D22" s="9">
        <v>613784</v>
      </c>
    </row>
    <row r="23" spans="3:4" x14ac:dyDescent="0.3">
      <c r="C23" s="3" t="s">
        <v>49</v>
      </c>
      <c r="D23" s="9">
        <v>673469</v>
      </c>
    </row>
    <row r="24" spans="3:4" x14ac:dyDescent="0.3">
      <c r="C24" s="3" t="s">
        <v>20</v>
      </c>
      <c r="D24" s="9">
        <v>726153</v>
      </c>
    </row>
    <row r="25" spans="3:4" x14ac:dyDescent="0.3">
      <c r="C25" s="3" t="s">
        <v>29</v>
      </c>
      <c r="D25" s="9">
        <v>771420</v>
      </c>
    </row>
    <row r="26" spans="3:4" x14ac:dyDescent="0.3">
      <c r="C26" s="3" t="s">
        <v>37</v>
      </c>
      <c r="D26" s="9">
        <v>792956</v>
      </c>
    </row>
    <row r="27" spans="3:4" x14ac:dyDescent="0.3">
      <c r="C27" s="3" t="s">
        <v>28</v>
      </c>
      <c r="D27" s="9">
        <v>826924</v>
      </c>
    </row>
    <row r="28" spans="3:4" x14ac:dyDescent="0.3">
      <c r="C28" s="3" t="s">
        <v>46</v>
      </c>
      <c r="D28" s="9">
        <v>954503</v>
      </c>
    </row>
    <row r="29" spans="3:4" x14ac:dyDescent="0.3">
      <c r="C29" s="3" t="s">
        <v>23</v>
      </c>
      <c r="D29" s="9">
        <v>1006326</v>
      </c>
    </row>
    <row r="30" spans="3:4" x14ac:dyDescent="0.3">
      <c r="C30" s="3" t="s">
        <v>43</v>
      </c>
      <c r="D30" s="9">
        <v>1045209</v>
      </c>
    </row>
    <row r="31" spans="3:4" x14ac:dyDescent="0.3">
      <c r="C31" s="3" t="s">
        <v>26</v>
      </c>
      <c r="D31" s="9">
        <v>1440388</v>
      </c>
    </row>
    <row r="32" spans="3:4" x14ac:dyDescent="0.3">
      <c r="C32" s="3" t="s">
        <v>53</v>
      </c>
      <c r="D32" s="9">
        <v>1603318</v>
      </c>
    </row>
    <row r="33" spans="3:4" x14ac:dyDescent="0.3">
      <c r="C33" s="3" t="s">
        <v>51</v>
      </c>
      <c r="D33" s="9">
        <v>1710261</v>
      </c>
    </row>
    <row r="34" spans="3:4" x14ac:dyDescent="0.3">
      <c r="C34" s="3" t="s">
        <v>16</v>
      </c>
      <c r="D34" s="9">
        <v>2069770</v>
      </c>
    </row>
    <row r="35" spans="3:4" x14ac:dyDescent="0.3">
      <c r="C35" s="3" t="s">
        <v>48</v>
      </c>
      <c r="D35" s="9">
        <v>2714025</v>
      </c>
    </row>
    <row r="36" spans="3:4" x14ac:dyDescent="0.3">
      <c r="C36" s="3" t="s">
        <v>33</v>
      </c>
      <c r="D36" s="9">
        <v>2991614</v>
      </c>
    </row>
    <row r="37" spans="3:4" x14ac:dyDescent="0.3">
      <c r="C37" s="3" t="s">
        <v>34</v>
      </c>
      <c r="D37" s="9">
        <v>5055224</v>
      </c>
    </row>
    <row r="38" spans="3:4" x14ac:dyDescent="0.3">
      <c r="C38" s="3" t="s">
        <v>38</v>
      </c>
      <c r="D38" s="9">
        <v>6623344</v>
      </c>
    </row>
    <row r="39" spans="3:4" x14ac:dyDescent="0.3">
      <c r="C39" s="3" t="s">
        <v>55</v>
      </c>
      <c r="D39" s="9">
        <v>34437307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AB0A3-16C3-4D83-95A2-2542F26933B9}">
  <dimension ref="A1:N48"/>
  <sheetViews>
    <sheetView workbookViewId="0">
      <selection activeCell="I6" sqref="I6"/>
    </sheetView>
  </sheetViews>
  <sheetFormatPr defaultRowHeight="14.4" x14ac:dyDescent="0.3"/>
  <cols>
    <col min="1" max="1" width="19.21875" bestFit="1" customWidth="1"/>
    <col min="2" max="3" width="7" bestFit="1" customWidth="1"/>
    <col min="4" max="4" width="17.21875" bestFit="1" customWidth="1"/>
    <col min="11" max="11" width="19.21875" bestFit="1" customWidth="1"/>
    <col min="12" max="12" width="8.109375" bestFit="1" customWidth="1"/>
    <col min="13" max="13" width="19.21875" bestFit="1" customWidth="1"/>
    <col min="14" max="14" width="17.6640625" bestFit="1" customWidth="1"/>
  </cols>
  <sheetData>
    <row r="1" spans="1:14" x14ac:dyDescent="0.3">
      <c r="A1" s="2" t="s">
        <v>54</v>
      </c>
      <c r="B1" t="s">
        <v>72</v>
      </c>
      <c r="C1" t="s">
        <v>67</v>
      </c>
    </row>
    <row r="2" spans="1:14" x14ac:dyDescent="0.3">
      <c r="A2" s="3" t="s">
        <v>12</v>
      </c>
      <c r="B2" s="9">
        <v>7</v>
      </c>
      <c r="C2" s="9">
        <v>129</v>
      </c>
    </row>
    <row r="3" spans="1:14" x14ac:dyDescent="0.3">
      <c r="A3" s="3" t="s">
        <v>16</v>
      </c>
      <c r="B3" s="9">
        <v>3128</v>
      </c>
      <c r="C3" s="9">
        <v>14412</v>
      </c>
      <c r="K3" s="9" t="e" vm="1">
        <v>#VALUE!</v>
      </c>
      <c r="M3" s="9" t="e" vm="1">
        <v>#VALUE!</v>
      </c>
    </row>
    <row r="4" spans="1:14" x14ac:dyDescent="0.3">
      <c r="A4" s="3" t="s">
        <v>17</v>
      </c>
      <c r="B4" s="9">
        <v>42</v>
      </c>
      <c r="C4" s="9">
        <v>280</v>
      </c>
    </row>
    <row r="5" spans="1:14" x14ac:dyDescent="0.3">
      <c r="A5" s="3" t="s">
        <v>19</v>
      </c>
      <c r="B5" s="9">
        <v>3272</v>
      </c>
      <c r="C5" s="9">
        <v>6047</v>
      </c>
    </row>
    <row r="6" spans="1:14" x14ac:dyDescent="0.3">
      <c r="A6" s="3" t="s">
        <v>20</v>
      </c>
      <c r="B6" s="9">
        <v>29</v>
      </c>
      <c r="C6" s="9">
        <v>9662</v>
      </c>
    </row>
    <row r="7" spans="1:14" x14ac:dyDescent="0.3">
      <c r="A7" s="3" t="s">
        <v>21</v>
      </c>
      <c r="B7" s="9">
        <v>24</v>
      </c>
      <c r="C7" s="9">
        <v>820</v>
      </c>
    </row>
    <row r="8" spans="1:14" x14ac:dyDescent="0.3">
      <c r="A8" s="3" t="s">
        <v>23</v>
      </c>
      <c r="B8" s="9">
        <v>230</v>
      </c>
      <c r="C8" s="9">
        <v>13588</v>
      </c>
    </row>
    <row r="9" spans="1:14" x14ac:dyDescent="0.3">
      <c r="A9" s="3" t="s">
        <v>24</v>
      </c>
      <c r="B9" s="9">
        <v>0</v>
      </c>
      <c r="C9" s="9">
        <v>4</v>
      </c>
    </row>
    <row r="10" spans="1:14" x14ac:dyDescent="0.3">
      <c r="A10" s="3" t="s">
        <v>26</v>
      </c>
      <c r="B10" s="9">
        <v>361</v>
      </c>
      <c r="C10" s="9">
        <v>25093</v>
      </c>
    </row>
    <row r="11" spans="1:14" x14ac:dyDescent="0.3">
      <c r="A11" s="3" t="s">
        <v>27</v>
      </c>
      <c r="B11" s="9">
        <v>263</v>
      </c>
      <c r="C11" s="9">
        <v>3374</v>
      </c>
      <c r="K11" s="2" t="s">
        <v>61</v>
      </c>
      <c r="L11" t="s">
        <v>70</v>
      </c>
      <c r="M11" s="2" t="s">
        <v>54</v>
      </c>
      <c r="N11" t="s">
        <v>69</v>
      </c>
    </row>
    <row r="12" spans="1:14" x14ac:dyDescent="0.3">
      <c r="A12" s="3" t="s">
        <v>28</v>
      </c>
      <c r="B12" s="9">
        <v>226</v>
      </c>
      <c r="C12" s="9">
        <v>10090</v>
      </c>
      <c r="K12" s="3" t="s">
        <v>41</v>
      </c>
      <c r="L12" s="9">
        <v>4.3899999999999997</v>
      </c>
      <c r="M12" s="3" t="s">
        <v>24</v>
      </c>
      <c r="N12" s="9">
        <v>0</v>
      </c>
    </row>
    <row r="13" spans="1:14" x14ac:dyDescent="0.3">
      <c r="A13" s="3" t="s">
        <v>29</v>
      </c>
      <c r="B13" s="9">
        <v>140</v>
      </c>
      <c r="C13" s="9">
        <v>10050</v>
      </c>
      <c r="K13" s="3" t="s">
        <v>34</v>
      </c>
      <c r="L13" s="9">
        <v>1.37</v>
      </c>
      <c r="M13" s="3" t="s">
        <v>20</v>
      </c>
      <c r="N13" s="9">
        <v>0</v>
      </c>
    </row>
    <row r="14" spans="1:14" x14ac:dyDescent="0.3">
      <c r="A14" s="3" t="s">
        <v>30</v>
      </c>
      <c r="B14" s="9">
        <v>1100</v>
      </c>
      <c r="C14" s="9">
        <v>3812</v>
      </c>
      <c r="K14" s="3" t="s">
        <v>35</v>
      </c>
      <c r="L14" s="9">
        <v>0.73</v>
      </c>
      <c r="M14" s="3" t="s">
        <v>36</v>
      </c>
      <c r="N14" s="9">
        <v>0</v>
      </c>
    </row>
    <row r="15" spans="1:14" x14ac:dyDescent="0.3">
      <c r="A15" s="3" t="s">
        <v>31</v>
      </c>
      <c r="B15" s="9">
        <v>1450</v>
      </c>
      <c r="C15" s="9">
        <v>4448</v>
      </c>
      <c r="K15" s="3" t="s">
        <v>39</v>
      </c>
      <c r="L15" s="9">
        <v>0.64</v>
      </c>
      <c r="M15" s="3" t="s">
        <v>46</v>
      </c>
      <c r="N15" s="9">
        <v>0.01</v>
      </c>
    </row>
    <row r="16" spans="1:14" x14ac:dyDescent="0.3">
      <c r="A16" s="3" t="s">
        <v>32</v>
      </c>
      <c r="B16" s="9">
        <v>141</v>
      </c>
      <c r="C16" s="9">
        <v>5138</v>
      </c>
      <c r="G16" s="11" t="e">
        <f>GETPIVOTDATA("Sum of Active",$A$1)/GETPIVOTDATA("Sum of Total Cases",$A$1)</f>
        <v>#REF!</v>
      </c>
      <c r="I16" s="10" t="e">
        <f>GETPIVOTDATA("Sum of Deaths",$A$1)/GETPIVOTDATA("Sum of Total Cases",$A$1)</f>
        <v>#REF!</v>
      </c>
      <c r="K16" s="3" t="s">
        <v>49</v>
      </c>
      <c r="L16" s="9">
        <v>0.56000000000000005</v>
      </c>
      <c r="M16" s="3" t="s">
        <v>51</v>
      </c>
      <c r="N16" s="9">
        <v>0.01</v>
      </c>
    </row>
    <row r="17" spans="1:14" x14ac:dyDescent="0.3">
      <c r="A17" s="3" t="s">
        <v>33</v>
      </c>
      <c r="B17" s="9">
        <v>8056</v>
      </c>
      <c r="C17" s="9">
        <v>38143</v>
      </c>
      <c r="K17" s="3" t="s">
        <v>19</v>
      </c>
      <c r="L17" s="9">
        <v>0.53</v>
      </c>
      <c r="M17" s="3" t="s">
        <v>37</v>
      </c>
      <c r="N17" s="9">
        <v>0.01</v>
      </c>
    </row>
    <row r="18" spans="1:14" x14ac:dyDescent="0.3">
      <c r="A18" s="3" t="s">
        <v>34</v>
      </c>
      <c r="B18" s="9">
        <v>69258</v>
      </c>
      <c r="C18" s="9">
        <v>35685</v>
      </c>
      <c r="K18" s="3" t="s">
        <v>42</v>
      </c>
      <c r="L18" s="9">
        <v>0.51</v>
      </c>
      <c r="M18" s="3" t="s">
        <v>29</v>
      </c>
      <c r="N18" s="9">
        <v>0.02</v>
      </c>
    </row>
    <row r="19" spans="1:14" x14ac:dyDescent="0.3">
      <c r="A19" s="3" t="s">
        <v>35</v>
      </c>
      <c r="B19" s="9">
        <v>154</v>
      </c>
      <c r="C19" s="9">
        <v>211</v>
      </c>
      <c r="K19" s="3" t="s">
        <v>53</v>
      </c>
      <c r="L19" s="9">
        <v>0.5</v>
      </c>
      <c r="M19" s="3" t="s">
        <v>23</v>
      </c>
      <c r="N19" s="9">
        <v>0.02</v>
      </c>
    </row>
    <row r="20" spans="1:14" x14ac:dyDescent="0.3">
      <c r="A20" s="3" t="s">
        <v>36</v>
      </c>
      <c r="B20" s="9">
        <v>0</v>
      </c>
      <c r="C20" s="9">
        <v>51</v>
      </c>
      <c r="K20" s="3" t="s">
        <v>30</v>
      </c>
      <c r="L20" s="9">
        <v>0.49</v>
      </c>
      <c r="M20" s="3" t="s">
        <v>28</v>
      </c>
      <c r="N20" s="9">
        <v>0.03</v>
      </c>
    </row>
    <row r="21" spans="1:14" x14ac:dyDescent="0.3">
      <c r="A21" s="3" t="s">
        <v>37</v>
      </c>
      <c r="B21" s="9">
        <v>75</v>
      </c>
      <c r="C21" s="9">
        <v>10524</v>
      </c>
      <c r="K21" s="3" t="s">
        <v>31</v>
      </c>
      <c r="L21" s="9">
        <v>0.43</v>
      </c>
      <c r="M21" s="3" t="s">
        <v>26</v>
      </c>
      <c r="N21" s="9">
        <v>0.03</v>
      </c>
    </row>
    <row r="22" spans="1:14" x14ac:dyDescent="0.3">
      <c r="A22" s="3" t="s">
        <v>38</v>
      </c>
      <c r="B22" s="9">
        <v>15866</v>
      </c>
      <c r="C22" s="9">
        <v>140565</v>
      </c>
      <c r="K22" s="3" t="s">
        <v>47</v>
      </c>
      <c r="L22" s="9">
        <v>0.38</v>
      </c>
      <c r="M22" s="3" t="s">
        <v>21</v>
      </c>
      <c r="N22" s="9">
        <v>0.04</v>
      </c>
    </row>
    <row r="23" spans="1:14" x14ac:dyDescent="0.3">
      <c r="A23" s="3" t="s">
        <v>39</v>
      </c>
      <c r="B23" s="9">
        <v>799</v>
      </c>
      <c r="C23" s="9">
        <v>1946</v>
      </c>
      <c r="K23" s="3" t="s">
        <v>48</v>
      </c>
      <c r="L23" s="9">
        <v>0.36</v>
      </c>
      <c r="M23" s="3" t="s">
        <v>32</v>
      </c>
      <c r="N23" s="9">
        <v>0.04</v>
      </c>
    </row>
    <row r="24" spans="1:14" x14ac:dyDescent="0.3">
      <c r="A24" s="3" t="s">
        <v>40</v>
      </c>
      <c r="B24" s="9">
        <v>277</v>
      </c>
      <c r="C24" s="9">
        <v>1462</v>
      </c>
      <c r="K24" s="3" t="s">
        <v>40</v>
      </c>
      <c r="L24" s="9">
        <v>0.33</v>
      </c>
      <c r="M24" s="3" t="s">
        <v>45</v>
      </c>
      <c r="N24" s="9">
        <v>0.05</v>
      </c>
    </row>
    <row r="25" spans="1:14" x14ac:dyDescent="0.3">
      <c r="A25" s="3" t="s">
        <v>41</v>
      </c>
      <c r="B25" s="9">
        <v>5651</v>
      </c>
      <c r="C25" s="9">
        <v>459</v>
      </c>
      <c r="K25" s="3" t="s">
        <v>33</v>
      </c>
      <c r="L25" s="9">
        <v>0.27</v>
      </c>
      <c r="M25" s="3" t="s">
        <v>52</v>
      </c>
      <c r="N25" s="9">
        <v>0.05</v>
      </c>
    </row>
    <row r="26" spans="1:14" x14ac:dyDescent="0.3">
      <c r="A26" s="3" t="s">
        <v>42</v>
      </c>
      <c r="B26" s="9">
        <v>163</v>
      </c>
      <c r="C26" s="9">
        <v>692</v>
      </c>
      <c r="K26" s="3" t="s">
        <v>43</v>
      </c>
      <c r="L26" s="9">
        <v>0.24</v>
      </c>
      <c r="M26" s="3" t="s">
        <v>17</v>
      </c>
      <c r="N26" s="9">
        <v>0.08</v>
      </c>
    </row>
    <row r="27" spans="1:14" x14ac:dyDescent="0.3">
      <c r="A27" s="3" t="s">
        <v>43</v>
      </c>
      <c r="B27" s="9">
        <v>2534</v>
      </c>
      <c r="C27" s="9">
        <v>8375</v>
      </c>
      <c r="K27" s="3" t="s">
        <v>38</v>
      </c>
      <c r="L27" s="9">
        <v>0.24</v>
      </c>
      <c r="M27" s="3" t="s">
        <v>12</v>
      </c>
      <c r="N27" s="9">
        <v>0.09</v>
      </c>
    </row>
    <row r="28" spans="1:14" x14ac:dyDescent="0.3">
      <c r="A28" s="3" t="s">
        <v>44</v>
      </c>
      <c r="B28" s="9">
        <v>275</v>
      </c>
      <c r="C28" s="9">
        <v>1863</v>
      </c>
      <c r="K28" s="3" t="s">
        <v>44</v>
      </c>
      <c r="L28" s="9">
        <v>0.21</v>
      </c>
      <c r="M28" s="3" t="s">
        <v>50</v>
      </c>
      <c r="N28" s="9">
        <v>0.14000000000000001</v>
      </c>
    </row>
    <row r="29" spans="1:14" x14ac:dyDescent="0.3">
      <c r="A29" s="3" t="s">
        <v>45</v>
      </c>
      <c r="B29" s="9">
        <v>318</v>
      </c>
      <c r="C29" s="9">
        <v>16571</v>
      </c>
      <c r="K29" s="3" t="s">
        <v>16</v>
      </c>
      <c r="L29" s="9">
        <v>0.15</v>
      </c>
      <c r="M29" s="3" t="s">
        <v>16</v>
      </c>
      <c r="N29" s="9">
        <v>0.15</v>
      </c>
    </row>
    <row r="30" spans="1:14" x14ac:dyDescent="0.3">
      <c r="A30" s="3" t="s">
        <v>46</v>
      </c>
      <c r="B30" s="9">
        <v>71</v>
      </c>
      <c r="C30" s="9">
        <v>8954</v>
      </c>
      <c r="K30" s="3" t="s">
        <v>27</v>
      </c>
      <c r="L30" s="9">
        <v>0.15</v>
      </c>
      <c r="M30" s="3" t="s">
        <v>27</v>
      </c>
      <c r="N30" s="9">
        <v>0.15</v>
      </c>
    </row>
    <row r="31" spans="1:14" x14ac:dyDescent="0.3">
      <c r="A31" s="3" t="s">
        <v>47</v>
      </c>
      <c r="B31" s="9">
        <v>121</v>
      </c>
      <c r="C31" s="9">
        <v>400</v>
      </c>
      <c r="K31" s="3" t="s">
        <v>50</v>
      </c>
      <c r="L31" s="9">
        <v>0.14000000000000001</v>
      </c>
      <c r="M31" s="3" t="s">
        <v>44</v>
      </c>
      <c r="N31" s="9">
        <v>0.21</v>
      </c>
    </row>
    <row r="32" spans="1:14" x14ac:dyDescent="0.3">
      <c r="A32" s="3" t="s">
        <v>48</v>
      </c>
      <c r="B32" s="9">
        <v>9751</v>
      </c>
      <c r="C32" s="9">
        <v>36273</v>
      </c>
      <c r="K32" s="3" t="s">
        <v>12</v>
      </c>
      <c r="L32" s="9">
        <v>0.09</v>
      </c>
      <c r="M32" s="3" t="s">
        <v>43</v>
      </c>
      <c r="N32" s="9">
        <v>0.24</v>
      </c>
    </row>
    <row r="33" spans="1:14" x14ac:dyDescent="0.3">
      <c r="A33" s="3" t="s">
        <v>49</v>
      </c>
      <c r="B33" s="9">
        <v>3741</v>
      </c>
      <c r="C33" s="9">
        <v>3973</v>
      </c>
      <c r="K33" s="3" t="s">
        <v>17</v>
      </c>
      <c r="L33" s="9">
        <v>0.08</v>
      </c>
      <c r="M33" s="3" t="s">
        <v>38</v>
      </c>
      <c r="N33" s="9">
        <v>0.24</v>
      </c>
    </row>
    <row r="34" spans="1:14" x14ac:dyDescent="0.3">
      <c r="A34" s="3" t="s">
        <v>50</v>
      </c>
      <c r="B34" s="9">
        <v>116</v>
      </c>
      <c r="C34" s="9">
        <v>817</v>
      </c>
      <c r="K34" s="3" t="s">
        <v>52</v>
      </c>
      <c r="L34" s="9">
        <v>0.05</v>
      </c>
      <c r="M34" s="3" t="s">
        <v>33</v>
      </c>
      <c r="N34" s="9">
        <v>0.27</v>
      </c>
    </row>
    <row r="35" spans="1:14" x14ac:dyDescent="0.3">
      <c r="A35" s="3" t="s">
        <v>51</v>
      </c>
      <c r="B35" s="9">
        <v>90</v>
      </c>
      <c r="C35" s="9">
        <v>22909</v>
      </c>
      <c r="K35" s="3" t="s">
        <v>45</v>
      </c>
      <c r="L35" s="9">
        <v>0.05</v>
      </c>
      <c r="M35" s="3" t="s">
        <v>40</v>
      </c>
      <c r="N35" s="9">
        <v>0.33</v>
      </c>
    </row>
    <row r="36" spans="1:14" x14ac:dyDescent="0.3">
      <c r="A36" s="3" t="s">
        <v>52</v>
      </c>
      <c r="B36" s="9">
        <v>158</v>
      </c>
      <c r="C36" s="9">
        <v>7403</v>
      </c>
      <c r="K36" s="3" t="s">
        <v>32</v>
      </c>
      <c r="L36" s="9">
        <v>0.04</v>
      </c>
      <c r="M36" s="3" t="s">
        <v>48</v>
      </c>
      <c r="N36" s="9">
        <v>0.36</v>
      </c>
    </row>
    <row r="37" spans="1:14" x14ac:dyDescent="0.3">
      <c r="A37" s="3" t="s">
        <v>53</v>
      </c>
      <c r="B37" s="9">
        <v>8031</v>
      </c>
      <c r="C37" s="9">
        <v>19307</v>
      </c>
      <c r="K37" s="3" t="s">
        <v>21</v>
      </c>
      <c r="L37" s="9">
        <v>0.04</v>
      </c>
      <c r="M37" s="3" t="s">
        <v>47</v>
      </c>
      <c r="N37" s="9">
        <v>0.38</v>
      </c>
    </row>
    <row r="38" spans="1:14" x14ac:dyDescent="0.3">
      <c r="A38" s="3" t="s">
        <v>55</v>
      </c>
      <c r="B38" s="9">
        <v>135918</v>
      </c>
      <c r="C38" s="9">
        <v>463530</v>
      </c>
      <c r="K38" s="3" t="s">
        <v>26</v>
      </c>
      <c r="L38" s="9">
        <v>0.03</v>
      </c>
      <c r="M38" s="3" t="s">
        <v>31</v>
      </c>
      <c r="N38" s="9">
        <v>0.43</v>
      </c>
    </row>
    <row r="39" spans="1:14" x14ac:dyDescent="0.3">
      <c r="K39" s="3" t="s">
        <v>28</v>
      </c>
      <c r="L39" s="9">
        <v>0.03</v>
      </c>
      <c r="M39" s="3" t="s">
        <v>30</v>
      </c>
      <c r="N39" s="9">
        <v>0.49</v>
      </c>
    </row>
    <row r="40" spans="1:14" x14ac:dyDescent="0.3">
      <c r="K40" s="3" t="s">
        <v>23</v>
      </c>
      <c r="L40" s="9">
        <v>0.02</v>
      </c>
      <c r="M40" s="3" t="s">
        <v>53</v>
      </c>
      <c r="N40" s="9">
        <v>0.5</v>
      </c>
    </row>
    <row r="41" spans="1:14" x14ac:dyDescent="0.3">
      <c r="K41" s="3" t="s">
        <v>29</v>
      </c>
      <c r="L41" s="9">
        <v>0.02</v>
      </c>
      <c r="M41" s="3" t="s">
        <v>42</v>
      </c>
      <c r="N41" s="9">
        <v>0.51</v>
      </c>
    </row>
    <row r="42" spans="1:14" x14ac:dyDescent="0.3">
      <c r="K42" s="3" t="s">
        <v>46</v>
      </c>
      <c r="L42" s="9">
        <v>0.01</v>
      </c>
      <c r="M42" s="3" t="s">
        <v>19</v>
      </c>
      <c r="N42" s="9">
        <v>0.53</v>
      </c>
    </row>
    <row r="43" spans="1:14" x14ac:dyDescent="0.3">
      <c r="K43" s="3" t="s">
        <v>51</v>
      </c>
      <c r="L43" s="9">
        <v>0.01</v>
      </c>
      <c r="M43" s="3" t="s">
        <v>49</v>
      </c>
      <c r="N43" s="9">
        <v>0.56000000000000005</v>
      </c>
    </row>
    <row r="44" spans="1:14" x14ac:dyDescent="0.3">
      <c r="K44" s="3" t="s">
        <v>37</v>
      </c>
      <c r="L44" s="9">
        <v>0.01</v>
      </c>
      <c r="M44" s="3" t="s">
        <v>39</v>
      </c>
      <c r="N44" s="9">
        <v>0.64</v>
      </c>
    </row>
    <row r="45" spans="1:14" x14ac:dyDescent="0.3">
      <c r="K45" s="3" t="s">
        <v>36</v>
      </c>
      <c r="L45" s="9">
        <v>0</v>
      </c>
      <c r="M45" s="3" t="s">
        <v>35</v>
      </c>
      <c r="N45" s="9">
        <v>0.73</v>
      </c>
    </row>
    <row r="46" spans="1:14" x14ac:dyDescent="0.3">
      <c r="K46" s="3" t="s">
        <v>24</v>
      </c>
      <c r="L46" s="9">
        <v>0</v>
      </c>
      <c r="M46" s="3" t="s">
        <v>34</v>
      </c>
      <c r="N46" s="9">
        <v>1.37</v>
      </c>
    </row>
    <row r="47" spans="1:14" x14ac:dyDescent="0.3">
      <c r="K47" s="3" t="s">
        <v>20</v>
      </c>
      <c r="L47" s="9">
        <v>0</v>
      </c>
      <c r="M47" s="3" t="s">
        <v>41</v>
      </c>
      <c r="N47" s="9">
        <v>4.3899999999999997</v>
      </c>
    </row>
    <row r="48" spans="1:14" x14ac:dyDescent="0.3">
      <c r="K48" s="3" t="s">
        <v>55</v>
      </c>
      <c r="L48" s="9">
        <v>13.100000000000003</v>
      </c>
      <c r="M48" s="3" t="s">
        <v>55</v>
      </c>
      <c r="N48" s="9">
        <v>13.100000000000003</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7FE7B-0AD0-443F-BCBF-8C448867020B}">
  <dimension ref="A3:B8"/>
  <sheetViews>
    <sheetView workbookViewId="0">
      <selection activeCell="A4" sqref="A4"/>
    </sheetView>
  </sheetViews>
  <sheetFormatPr defaultRowHeight="14.4" x14ac:dyDescent="0.3"/>
  <cols>
    <col min="1" max="1" width="10.77734375" bestFit="1" customWidth="1"/>
    <col min="2" max="2" width="10.88671875" bestFit="1" customWidth="1"/>
    <col min="3" max="3" width="17.33203125" bestFit="1" customWidth="1"/>
    <col min="4" max="5" width="15.5546875" bestFit="1" customWidth="1"/>
    <col min="6" max="7" width="10.77734375" bestFit="1" customWidth="1"/>
  </cols>
  <sheetData>
    <row r="3" spans="1:2" x14ac:dyDescent="0.3">
      <c r="A3" s="2" t="s">
        <v>73</v>
      </c>
      <c r="B3" t="s">
        <v>74</v>
      </c>
    </row>
    <row r="4" spans="1:2" x14ac:dyDescent="0.3">
      <c r="A4" s="3" t="s">
        <v>18</v>
      </c>
      <c r="B4" s="9">
        <v>5884786</v>
      </c>
    </row>
    <row r="5" spans="1:2" x14ac:dyDescent="0.3">
      <c r="A5" s="3" t="s">
        <v>22</v>
      </c>
      <c r="B5" s="9">
        <v>5515107</v>
      </c>
    </row>
    <row r="6" spans="1:2" x14ac:dyDescent="0.3">
      <c r="A6" s="3" t="s">
        <v>13</v>
      </c>
      <c r="B6" s="9">
        <v>13650538</v>
      </c>
    </row>
    <row r="7" spans="1:2" x14ac:dyDescent="0.3">
      <c r="A7" s="3" t="s">
        <v>25</v>
      </c>
      <c r="B7" s="9">
        <v>9386876</v>
      </c>
    </row>
    <row r="8" spans="1:2" x14ac:dyDescent="0.3">
      <c r="A8" s="3" t="s">
        <v>55</v>
      </c>
      <c r="B8" s="9">
        <v>34437307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84D4-37C1-437A-A73D-14070510A4BA}">
  <dimension ref="A1:O38"/>
  <sheetViews>
    <sheetView workbookViewId="0">
      <selection activeCell="B10" sqref="B10"/>
    </sheetView>
  </sheetViews>
  <sheetFormatPr defaultRowHeight="14.4" x14ac:dyDescent="0.3"/>
  <cols>
    <col min="1" max="1" width="19.21875" bestFit="1" customWidth="1"/>
    <col min="2" max="2" width="20.5546875" bestFit="1" customWidth="1"/>
    <col min="3" max="3" width="20.109375" bestFit="1" customWidth="1"/>
    <col min="4" max="4" width="21.109375" bestFit="1" customWidth="1"/>
    <col min="14" max="14" width="11.21875" bestFit="1" customWidth="1"/>
    <col min="15" max="15" width="11.77734375" bestFit="1" customWidth="1"/>
  </cols>
  <sheetData>
    <row r="1" spans="1:15" x14ac:dyDescent="0.3">
      <c r="A1" s="2" t="s">
        <v>54</v>
      </c>
      <c r="B1" t="s">
        <v>57</v>
      </c>
    </row>
    <row r="2" spans="1:15" x14ac:dyDescent="0.3">
      <c r="A2" s="3" t="s">
        <v>24</v>
      </c>
      <c r="B2" s="9">
        <v>99.96</v>
      </c>
    </row>
    <row r="3" spans="1:15" x14ac:dyDescent="0.3">
      <c r="A3" s="3" t="s">
        <v>36</v>
      </c>
      <c r="B3" s="9">
        <v>99.51</v>
      </c>
    </row>
    <row r="4" spans="1:15" x14ac:dyDescent="0.3">
      <c r="A4" s="3" t="s">
        <v>17</v>
      </c>
      <c r="B4" s="9">
        <v>99.42</v>
      </c>
    </row>
    <row r="5" spans="1:15" x14ac:dyDescent="0.3">
      <c r="A5" s="3" t="s">
        <v>16</v>
      </c>
      <c r="B5" s="9">
        <v>99.15</v>
      </c>
    </row>
    <row r="6" spans="1:15" x14ac:dyDescent="0.3">
      <c r="A6" s="3" t="s">
        <v>46</v>
      </c>
      <c r="B6" s="9">
        <v>99.05</v>
      </c>
      <c r="N6" s="2" t="s">
        <v>61</v>
      </c>
      <c r="O6" t="s">
        <v>66</v>
      </c>
    </row>
    <row r="7" spans="1:15" x14ac:dyDescent="0.3">
      <c r="A7" s="3" t="s">
        <v>43</v>
      </c>
      <c r="B7" s="9">
        <v>98.96</v>
      </c>
      <c r="N7" s="3" t="s">
        <v>24</v>
      </c>
      <c r="O7" s="9">
        <v>99.96</v>
      </c>
    </row>
    <row r="8" spans="1:15" x14ac:dyDescent="0.3">
      <c r="A8" s="3" t="s">
        <v>50</v>
      </c>
      <c r="B8" s="9">
        <v>98.9</v>
      </c>
      <c r="N8" s="3" t="s">
        <v>55</v>
      </c>
      <c r="O8" s="9">
        <v>99.96</v>
      </c>
    </row>
    <row r="9" spans="1:15" x14ac:dyDescent="0.3">
      <c r="A9" s="3" t="s">
        <v>49</v>
      </c>
      <c r="B9" s="9">
        <v>98.85</v>
      </c>
    </row>
    <row r="10" spans="1:15" x14ac:dyDescent="0.3">
      <c r="A10" s="3" t="s">
        <v>28</v>
      </c>
      <c r="B10" s="9">
        <v>98.75</v>
      </c>
    </row>
    <row r="11" spans="1:15" x14ac:dyDescent="0.3">
      <c r="A11" s="3" t="s">
        <v>21</v>
      </c>
      <c r="B11" s="9">
        <v>98.71</v>
      </c>
    </row>
    <row r="12" spans="1:15" x14ac:dyDescent="0.3">
      <c r="A12" s="3" t="s">
        <v>29</v>
      </c>
      <c r="B12" s="9">
        <v>98.68</v>
      </c>
    </row>
    <row r="13" spans="1:15" x14ac:dyDescent="0.3">
      <c r="A13" s="3" t="s">
        <v>20</v>
      </c>
      <c r="B13" s="9">
        <v>98.67</v>
      </c>
    </row>
    <row r="14" spans="1:15" x14ac:dyDescent="0.3">
      <c r="A14" s="3" t="s">
        <v>51</v>
      </c>
      <c r="B14" s="9">
        <v>98.66</v>
      </c>
      <c r="N14" s="2" t="s">
        <v>61</v>
      </c>
      <c r="O14" t="s">
        <v>66</v>
      </c>
    </row>
    <row r="15" spans="1:15" x14ac:dyDescent="0.3">
      <c r="A15" s="3" t="s">
        <v>37</v>
      </c>
      <c r="B15" s="9">
        <v>98.66</v>
      </c>
      <c r="N15" s="3" t="s">
        <v>24</v>
      </c>
      <c r="O15" s="9">
        <v>99.96</v>
      </c>
    </row>
    <row r="16" spans="1:15" x14ac:dyDescent="0.3">
      <c r="A16" s="3" t="s">
        <v>23</v>
      </c>
      <c r="B16" s="9">
        <v>98.63</v>
      </c>
      <c r="N16" s="3" t="s">
        <v>55</v>
      </c>
      <c r="O16" s="9">
        <v>99.96</v>
      </c>
    </row>
    <row r="17" spans="1:2" x14ac:dyDescent="0.3">
      <c r="A17" s="3" t="s">
        <v>32</v>
      </c>
      <c r="B17" s="9">
        <v>98.49</v>
      </c>
    </row>
    <row r="18" spans="1:2" x14ac:dyDescent="0.3">
      <c r="A18" s="3" t="s">
        <v>19</v>
      </c>
      <c r="B18" s="9">
        <v>98.48</v>
      </c>
    </row>
    <row r="19" spans="1:2" x14ac:dyDescent="0.3">
      <c r="A19" s="3" t="s">
        <v>33</v>
      </c>
      <c r="B19" s="9">
        <v>98.46</v>
      </c>
    </row>
    <row r="20" spans="1:2" x14ac:dyDescent="0.3">
      <c r="A20" s="3" t="s">
        <v>47</v>
      </c>
      <c r="B20" s="9">
        <v>98.38</v>
      </c>
    </row>
    <row r="21" spans="1:2" x14ac:dyDescent="0.3">
      <c r="A21" s="3" t="s">
        <v>44</v>
      </c>
      <c r="B21" s="9">
        <v>98.33</v>
      </c>
    </row>
    <row r="22" spans="1:2" x14ac:dyDescent="0.3">
      <c r="A22" s="3" t="s">
        <v>48</v>
      </c>
      <c r="B22" s="9">
        <v>98.3</v>
      </c>
    </row>
    <row r="23" spans="1:2" x14ac:dyDescent="0.3">
      <c r="A23" s="3" t="s">
        <v>53</v>
      </c>
      <c r="B23" s="9">
        <v>98.29</v>
      </c>
    </row>
    <row r="24" spans="1:2" x14ac:dyDescent="0.3">
      <c r="A24" s="3" t="s">
        <v>35</v>
      </c>
      <c r="B24" s="9">
        <v>98.27</v>
      </c>
    </row>
    <row r="25" spans="1:2" x14ac:dyDescent="0.3">
      <c r="A25" s="3" t="s">
        <v>26</v>
      </c>
      <c r="B25" s="9">
        <v>98.23</v>
      </c>
    </row>
    <row r="26" spans="1:2" x14ac:dyDescent="0.3">
      <c r="A26" s="3" t="s">
        <v>31</v>
      </c>
      <c r="B26" s="9">
        <v>98.23</v>
      </c>
    </row>
    <row r="27" spans="1:2" x14ac:dyDescent="0.3">
      <c r="A27" s="3" t="s">
        <v>12</v>
      </c>
      <c r="B27" s="9">
        <v>98.23</v>
      </c>
    </row>
    <row r="28" spans="1:2" x14ac:dyDescent="0.3">
      <c r="A28" s="3" t="s">
        <v>27</v>
      </c>
      <c r="B28" s="9">
        <v>97.96</v>
      </c>
    </row>
    <row r="29" spans="1:2" x14ac:dyDescent="0.3">
      <c r="A29" s="3" t="s">
        <v>40</v>
      </c>
      <c r="B29" s="9">
        <v>97.93</v>
      </c>
    </row>
    <row r="30" spans="1:2" x14ac:dyDescent="0.3">
      <c r="A30" s="3" t="s">
        <v>34</v>
      </c>
      <c r="B30" s="9">
        <v>97.92</v>
      </c>
    </row>
    <row r="31" spans="1:2" x14ac:dyDescent="0.3">
      <c r="A31" s="3" t="s">
        <v>30</v>
      </c>
      <c r="B31" s="9">
        <v>97.82</v>
      </c>
    </row>
    <row r="32" spans="1:2" x14ac:dyDescent="0.3">
      <c r="A32" s="3" t="s">
        <v>52</v>
      </c>
      <c r="B32" s="9">
        <v>97.8</v>
      </c>
    </row>
    <row r="33" spans="1:2" x14ac:dyDescent="0.3">
      <c r="A33" s="3" t="s">
        <v>39</v>
      </c>
      <c r="B33" s="9">
        <v>97.79</v>
      </c>
    </row>
    <row r="34" spans="1:2" x14ac:dyDescent="0.3">
      <c r="A34" s="3" t="s">
        <v>38</v>
      </c>
      <c r="B34" s="9">
        <v>97.64</v>
      </c>
    </row>
    <row r="35" spans="1:2" x14ac:dyDescent="0.3">
      <c r="A35" s="3" t="s">
        <v>42</v>
      </c>
      <c r="B35" s="9">
        <v>97.33</v>
      </c>
    </row>
    <row r="36" spans="1:2" x14ac:dyDescent="0.3">
      <c r="A36" s="3" t="s">
        <v>45</v>
      </c>
      <c r="B36" s="9">
        <v>97.2</v>
      </c>
    </row>
    <row r="37" spans="1:2" x14ac:dyDescent="0.3">
      <c r="A37" s="3" t="s">
        <v>41</v>
      </c>
      <c r="B37" s="9">
        <v>95.25</v>
      </c>
    </row>
    <row r="38" spans="1:2" x14ac:dyDescent="0.3">
      <c r="A38" s="3" t="s">
        <v>55</v>
      </c>
      <c r="B38" s="9">
        <v>3540.8900000000003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B3B60-7939-4E25-A781-21D8308A58FE}">
  <dimension ref="A1:O51"/>
  <sheetViews>
    <sheetView workbookViewId="0">
      <selection activeCell="B4" sqref="B4"/>
    </sheetView>
  </sheetViews>
  <sheetFormatPr defaultRowHeight="14.4" x14ac:dyDescent="0.3"/>
  <cols>
    <col min="1" max="1" width="19.21875" bestFit="1" customWidth="1"/>
    <col min="2" max="2" width="17.44140625" bestFit="1" customWidth="1"/>
    <col min="14" max="14" width="19.21875" bestFit="1" customWidth="1"/>
    <col min="15" max="15" width="17.44140625" bestFit="1" customWidth="1"/>
  </cols>
  <sheetData>
    <row r="1" spans="1:15" x14ac:dyDescent="0.3">
      <c r="A1" s="2" t="s">
        <v>54</v>
      </c>
      <c r="B1" t="s">
        <v>58</v>
      </c>
    </row>
    <row r="2" spans="1:15" x14ac:dyDescent="0.3">
      <c r="A2" s="3" t="s">
        <v>12</v>
      </c>
      <c r="B2" s="9">
        <v>1.68</v>
      </c>
    </row>
    <row r="3" spans="1:15" x14ac:dyDescent="0.3">
      <c r="A3" s="3" t="s">
        <v>16</v>
      </c>
      <c r="B3" s="9">
        <v>0.7</v>
      </c>
    </row>
    <row r="4" spans="1:15" x14ac:dyDescent="0.3">
      <c r="A4" s="3" t="s">
        <v>17</v>
      </c>
      <c r="B4" s="9">
        <v>0.51</v>
      </c>
    </row>
    <row r="5" spans="1:15" x14ac:dyDescent="0.3">
      <c r="A5" s="3" t="s">
        <v>19</v>
      </c>
      <c r="B5" s="9">
        <v>0.99</v>
      </c>
    </row>
    <row r="6" spans="1:15" x14ac:dyDescent="0.3">
      <c r="A6" s="3" t="s">
        <v>20</v>
      </c>
      <c r="B6" s="9">
        <v>1.33</v>
      </c>
      <c r="N6" s="2" t="s">
        <v>54</v>
      </c>
      <c r="O6" t="s">
        <v>58</v>
      </c>
    </row>
    <row r="7" spans="1:15" x14ac:dyDescent="0.3">
      <c r="A7" s="3" t="s">
        <v>21</v>
      </c>
      <c r="B7" s="9">
        <v>1.25</v>
      </c>
      <c r="N7" s="3" t="s">
        <v>24</v>
      </c>
      <c r="O7" s="9">
        <v>0.04</v>
      </c>
    </row>
    <row r="8" spans="1:15" x14ac:dyDescent="0.3">
      <c r="A8" s="3" t="s">
        <v>23</v>
      </c>
      <c r="B8" s="9">
        <v>1.35</v>
      </c>
      <c r="N8" s="3" t="s">
        <v>55</v>
      </c>
      <c r="O8" s="9">
        <v>0.04</v>
      </c>
    </row>
    <row r="9" spans="1:15" x14ac:dyDescent="0.3">
      <c r="A9" s="3" t="s">
        <v>24</v>
      </c>
      <c r="B9" s="9">
        <v>0.04</v>
      </c>
    </row>
    <row r="10" spans="1:15" x14ac:dyDescent="0.3">
      <c r="A10" s="3" t="s">
        <v>26</v>
      </c>
      <c r="B10" s="9">
        <v>1.74</v>
      </c>
    </row>
    <row r="11" spans="1:15" x14ac:dyDescent="0.3">
      <c r="A11" s="3" t="s">
        <v>27</v>
      </c>
      <c r="B11" s="9">
        <v>1.89</v>
      </c>
    </row>
    <row r="12" spans="1:15" x14ac:dyDescent="0.3">
      <c r="A12" s="3" t="s">
        <v>28</v>
      </c>
      <c r="B12" s="9">
        <v>1.22</v>
      </c>
    </row>
    <row r="13" spans="1:15" x14ac:dyDescent="0.3">
      <c r="A13" s="3" t="s">
        <v>29</v>
      </c>
      <c r="B13" s="9">
        <v>1.3</v>
      </c>
    </row>
    <row r="14" spans="1:15" x14ac:dyDescent="0.3">
      <c r="A14" s="3" t="s">
        <v>30</v>
      </c>
      <c r="B14" s="9">
        <v>1.69</v>
      </c>
      <c r="N14" s="2" t="s">
        <v>54</v>
      </c>
      <c r="O14" t="s">
        <v>58</v>
      </c>
    </row>
    <row r="15" spans="1:15" x14ac:dyDescent="0.3">
      <c r="A15" s="3" t="s">
        <v>31</v>
      </c>
      <c r="B15" s="9">
        <v>1.33</v>
      </c>
      <c r="N15" s="3" t="s">
        <v>24</v>
      </c>
      <c r="O15" s="9">
        <v>0.04</v>
      </c>
    </row>
    <row r="16" spans="1:15" x14ac:dyDescent="0.3">
      <c r="A16" s="3" t="s">
        <v>32</v>
      </c>
      <c r="B16" s="9">
        <v>1.47</v>
      </c>
      <c r="N16" s="3" t="s">
        <v>41</v>
      </c>
      <c r="O16" s="9">
        <v>0.36</v>
      </c>
    </row>
    <row r="17" spans="1:15" x14ac:dyDescent="0.3">
      <c r="A17" s="3" t="s">
        <v>33</v>
      </c>
      <c r="B17" s="9">
        <v>1.27</v>
      </c>
      <c r="N17" s="3" t="s">
        <v>36</v>
      </c>
      <c r="O17" s="9">
        <v>0.49</v>
      </c>
    </row>
    <row r="18" spans="1:15" x14ac:dyDescent="0.3">
      <c r="A18" s="3" t="s">
        <v>34</v>
      </c>
      <c r="B18" s="9">
        <v>0.71</v>
      </c>
      <c r="N18" s="3" t="s">
        <v>17</v>
      </c>
      <c r="O18" s="9">
        <v>0.51</v>
      </c>
    </row>
    <row r="19" spans="1:15" x14ac:dyDescent="0.3">
      <c r="A19" s="3" t="s">
        <v>35</v>
      </c>
      <c r="B19" s="9">
        <v>1</v>
      </c>
      <c r="N19" s="3" t="s">
        <v>49</v>
      </c>
      <c r="O19" s="9">
        <v>0.59</v>
      </c>
    </row>
    <row r="20" spans="1:15" x14ac:dyDescent="0.3">
      <c r="A20" s="3" t="s">
        <v>36</v>
      </c>
      <c r="B20" s="9">
        <v>0.49</v>
      </c>
      <c r="N20" s="3" t="s">
        <v>16</v>
      </c>
      <c r="O20" s="9">
        <v>0.7</v>
      </c>
    </row>
    <row r="21" spans="1:15" x14ac:dyDescent="0.3">
      <c r="A21" s="3" t="s">
        <v>37</v>
      </c>
      <c r="B21" s="9">
        <v>1.33</v>
      </c>
      <c r="N21" s="3" t="s">
        <v>34</v>
      </c>
      <c r="O21" s="9">
        <v>0.71</v>
      </c>
    </row>
    <row r="22" spans="1:15" x14ac:dyDescent="0.3">
      <c r="A22" s="3" t="s">
        <v>38</v>
      </c>
      <c r="B22" s="9">
        <v>2.12</v>
      </c>
      <c r="N22" s="3" t="s">
        <v>43</v>
      </c>
      <c r="O22" s="9">
        <v>0.8</v>
      </c>
    </row>
    <row r="23" spans="1:15" x14ac:dyDescent="0.3">
      <c r="A23" s="3" t="s">
        <v>39</v>
      </c>
      <c r="B23" s="9">
        <v>1.56</v>
      </c>
      <c r="N23" s="3" t="s">
        <v>46</v>
      </c>
      <c r="O23" s="9">
        <v>0.94</v>
      </c>
    </row>
    <row r="24" spans="1:15" x14ac:dyDescent="0.3">
      <c r="A24" s="3" t="s">
        <v>40</v>
      </c>
      <c r="B24" s="9">
        <v>1.74</v>
      </c>
      <c r="N24" s="3" t="s">
        <v>50</v>
      </c>
      <c r="O24" s="9">
        <v>0.96</v>
      </c>
    </row>
    <row r="25" spans="1:15" x14ac:dyDescent="0.3">
      <c r="A25" s="3" t="s">
        <v>41</v>
      </c>
      <c r="B25" s="9">
        <v>0.36</v>
      </c>
      <c r="N25" s="3" t="s">
        <v>19</v>
      </c>
      <c r="O25" s="9">
        <v>0.99</v>
      </c>
    </row>
    <row r="26" spans="1:15" x14ac:dyDescent="0.3">
      <c r="A26" s="3" t="s">
        <v>42</v>
      </c>
      <c r="B26" s="9">
        <v>2.16</v>
      </c>
      <c r="N26" s="3" t="s">
        <v>35</v>
      </c>
      <c r="O26" s="9">
        <v>1</v>
      </c>
    </row>
    <row r="27" spans="1:15" x14ac:dyDescent="0.3">
      <c r="A27" s="3" t="s">
        <v>43</v>
      </c>
      <c r="B27" s="9">
        <v>0.8</v>
      </c>
      <c r="N27" s="3" t="s">
        <v>53</v>
      </c>
      <c r="O27" s="9">
        <v>1.2</v>
      </c>
    </row>
    <row r="28" spans="1:15" x14ac:dyDescent="0.3">
      <c r="A28" s="3" t="s">
        <v>44</v>
      </c>
      <c r="B28" s="9">
        <v>1.45</v>
      </c>
      <c r="N28" s="3" t="s">
        <v>28</v>
      </c>
      <c r="O28" s="9">
        <v>1.22</v>
      </c>
    </row>
    <row r="29" spans="1:15" x14ac:dyDescent="0.3">
      <c r="A29" s="3" t="s">
        <v>45</v>
      </c>
      <c r="B29" s="9">
        <v>2.75</v>
      </c>
      <c r="N29" s="3" t="s">
        <v>21</v>
      </c>
      <c r="O29" s="9">
        <v>1.25</v>
      </c>
    </row>
    <row r="30" spans="1:15" x14ac:dyDescent="0.3">
      <c r="A30" s="3" t="s">
        <v>46</v>
      </c>
      <c r="B30" s="9">
        <v>0.94</v>
      </c>
      <c r="N30" s="3" t="s">
        <v>47</v>
      </c>
      <c r="O30" s="9">
        <v>1.25</v>
      </c>
    </row>
    <row r="31" spans="1:15" x14ac:dyDescent="0.3">
      <c r="A31" s="3" t="s">
        <v>47</v>
      </c>
      <c r="B31" s="9">
        <v>1.25</v>
      </c>
      <c r="N31" s="3" t="s">
        <v>33</v>
      </c>
      <c r="O31" s="9">
        <v>1.27</v>
      </c>
    </row>
    <row r="32" spans="1:15" x14ac:dyDescent="0.3">
      <c r="A32" s="3" t="s">
        <v>48</v>
      </c>
      <c r="B32" s="9">
        <v>1.34</v>
      </c>
      <c r="N32" s="3" t="s">
        <v>29</v>
      </c>
      <c r="O32" s="9">
        <v>1.3</v>
      </c>
    </row>
    <row r="33" spans="1:15" x14ac:dyDescent="0.3">
      <c r="A33" s="3" t="s">
        <v>49</v>
      </c>
      <c r="B33" s="9">
        <v>0.59</v>
      </c>
      <c r="N33" s="3" t="s">
        <v>20</v>
      </c>
      <c r="O33" s="9">
        <v>1.33</v>
      </c>
    </row>
    <row r="34" spans="1:15" x14ac:dyDescent="0.3">
      <c r="A34" s="3" t="s">
        <v>50</v>
      </c>
      <c r="B34" s="9">
        <v>0.96</v>
      </c>
      <c r="N34" s="3" t="s">
        <v>37</v>
      </c>
      <c r="O34" s="9">
        <v>1.33</v>
      </c>
    </row>
    <row r="35" spans="1:15" x14ac:dyDescent="0.3">
      <c r="A35" s="3" t="s">
        <v>51</v>
      </c>
      <c r="B35" s="9">
        <v>1.34</v>
      </c>
      <c r="N35" s="3" t="s">
        <v>31</v>
      </c>
      <c r="O35" s="9">
        <v>1.33</v>
      </c>
    </row>
    <row r="36" spans="1:15" x14ac:dyDescent="0.3">
      <c r="A36" s="3" t="s">
        <v>52</v>
      </c>
      <c r="B36" s="9">
        <v>2.15</v>
      </c>
      <c r="N36" s="3" t="s">
        <v>51</v>
      </c>
      <c r="O36" s="9">
        <v>1.34</v>
      </c>
    </row>
    <row r="37" spans="1:15" x14ac:dyDescent="0.3">
      <c r="A37" s="3" t="s">
        <v>53</v>
      </c>
      <c r="B37" s="9">
        <v>1.2</v>
      </c>
      <c r="N37" s="3" t="s">
        <v>48</v>
      </c>
      <c r="O37" s="9">
        <v>1.34</v>
      </c>
    </row>
    <row r="38" spans="1:15" x14ac:dyDescent="0.3">
      <c r="A38" s="3" t="s">
        <v>55</v>
      </c>
      <c r="B38" s="9">
        <v>46.000000000000007</v>
      </c>
      <c r="N38" s="3" t="s">
        <v>23</v>
      </c>
      <c r="O38" s="9">
        <v>1.35</v>
      </c>
    </row>
    <row r="39" spans="1:15" x14ac:dyDescent="0.3">
      <c r="N39" s="3" t="s">
        <v>44</v>
      </c>
      <c r="O39" s="9">
        <v>1.45</v>
      </c>
    </row>
    <row r="40" spans="1:15" x14ac:dyDescent="0.3">
      <c r="N40" s="3" t="s">
        <v>32</v>
      </c>
      <c r="O40" s="9">
        <v>1.47</v>
      </c>
    </row>
    <row r="41" spans="1:15" x14ac:dyDescent="0.3">
      <c r="N41" s="3" t="s">
        <v>39</v>
      </c>
      <c r="O41" s="9">
        <v>1.56</v>
      </c>
    </row>
    <row r="42" spans="1:15" x14ac:dyDescent="0.3">
      <c r="N42" s="3" t="s">
        <v>12</v>
      </c>
      <c r="O42" s="9">
        <v>1.68</v>
      </c>
    </row>
    <row r="43" spans="1:15" x14ac:dyDescent="0.3">
      <c r="N43" s="3" t="s">
        <v>30</v>
      </c>
      <c r="O43" s="9">
        <v>1.69</v>
      </c>
    </row>
    <row r="44" spans="1:15" x14ac:dyDescent="0.3">
      <c r="N44" s="3" t="s">
        <v>40</v>
      </c>
      <c r="O44" s="9">
        <v>1.74</v>
      </c>
    </row>
    <row r="45" spans="1:15" x14ac:dyDescent="0.3">
      <c r="N45" s="3" t="s">
        <v>26</v>
      </c>
      <c r="O45" s="9">
        <v>1.74</v>
      </c>
    </row>
    <row r="46" spans="1:15" x14ac:dyDescent="0.3">
      <c r="N46" s="3" t="s">
        <v>27</v>
      </c>
      <c r="O46" s="9">
        <v>1.89</v>
      </c>
    </row>
    <row r="47" spans="1:15" x14ac:dyDescent="0.3">
      <c r="N47" s="3" t="s">
        <v>38</v>
      </c>
      <c r="O47" s="9">
        <v>2.12</v>
      </c>
    </row>
    <row r="48" spans="1:15" x14ac:dyDescent="0.3">
      <c r="N48" s="3" t="s">
        <v>52</v>
      </c>
      <c r="O48" s="9">
        <v>2.15</v>
      </c>
    </row>
    <row r="49" spans="14:15" x14ac:dyDescent="0.3">
      <c r="N49" s="3" t="s">
        <v>42</v>
      </c>
      <c r="O49" s="9">
        <v>2.16</v>
      </c>
    </row>
    <row r="50" spans="14:15" x14ac:dyDescent="0.3">
      <c r="N50" s="3" t="s">
        <v>45</v>
      </c>
      <c r="O50" s="9">
        <v>2.75</v>
      </c>
    </row>
    <row r="51" spans="14:15" x14ac:dyDescent="0.3">
      <c r="N51" s="3" t="s">
        <v>55</v>
      </c>
      <c r="O51" s="9">
        <v>46.000000000000007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Dashborad</vt:lpstr>
      <vt:lpstr>Cases and Recovered</vt:lpstr>
      <vt:lpstr>Sheet2</vt:lpstr>
      <vt:lpstr>Active And Deaths</vt:lpstr>
      <vt:lpstr>States and Zones</vt:lpstr>
      <vt:lpstr>Recovered Index</vt:lpstr>
      <vt:lpstr>Death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yashvi bansal</dc:creator>
  <cp:lastModifiedBy>Shrinka Anand</cp:lastModifiedBy>
  <dcterms:created xsi:type="dcterms:W3CDTF">2026-08-29T06:31:31Z</dcterms:created>
  <dcterms:modified xsi:type="dcterms:W3CDTF">2026-09-11T07:20:51Z</dcterms:modified>
</cp:coreProperties>
</file>